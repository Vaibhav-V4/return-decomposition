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o365shriramamc-my.sharepoint.com/personal/vaibhav_singh_shriramamc_in/Documents/Capital Market Assumptions/EQUITY/"/>
    </mc:Choice>
  </mc:AlternateContent>
  <xr:revisionPtr revIDLastSave="302" documentId="11_F25DC773A252ABDACC1048B031584C645ADE58EE" xr6:coauthVersionLast="47" xr6:coauthVersionMax="47" xr10:uidLastSave="{F54A3399-9B7E-4AF3-8A06-4078C4325D25}"/>
  <bookViews>
    <workbookView xWindow="-108" yWindow="-108" windowWidth="23256" windowHeight="12456" activeTab="2" xr2:uid="{00000000-000D-0000-FFFF-FFFF00000000}"/>
  </bookViews>
  <sheets>
    <sheet name="Nifty 500 TRI" sheetId="1" r:id="rId1"/>
    <sheet name="MSCI World" sheetId="4" r:id="rId2"/>
    <sheet name="MSCI ACWI" sheetId="5" r:id="rId3"/>
  </sheet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I2" i="4"/>
  <c r="H2" i="4" a="1"/>
  <c r="H2" i="4" s="1"/>
  <c r="G2" i="4"/>
  <c r="F2" i="4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M2" i="1" s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K33" i="1" s="1" a="1"/>
  <c r="K33" i="1" s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K242" i="1" s="1" a="1"/>
  <c r="K242" i="1" s="1"/>
  <c r="J243" i="1"/>
  <c r="K243" i="1" s="1" a="1"/>
  <c r="K243" i="1" s="1"/>
  <c r="J2" i="1"/>
  <c r="F242" i="5"/>
  <c r="F241" i="5"/>
  <c r="I241" i="5" s="1"/>
  <c r="F240" i="5"/>
  <c r="F239" i="5"/>
  <c r="F238" i="5"/>
  <c r="G238" i="5" s="1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G216" i="5" s="1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G192" i="5" s="1"/>
  <c r="F191" i="5"/>
  <c r="F190" i="5"/>
  <c r="F189" i="5"/>
  <c r="F188" i="5"/>
  <c r="F187" i="5"/>
  <c r="G187" i="5" s="1"/>
  <c r="F186" i="5"/>
  <c r="F185" i="5"/>
  <c r="F184" i="5"/>
  <c r="F183" i="5"/>
  <c r="F182" i="5"/>
  <c r="F181" i="5"/>
  <c r="F180" i="5"/>
  <c r="G180" i="5" s="1"/>
  <c r="F179" i="5"/>
  <c r="F178" i="5"/>
  <c r="F177" i="5"/>
  <c r="F176" i="5"/>
  <c r="F175" i="5"/>
  <c r="G175" i="5" s="1"/>
  <c r="F174" i="5"/>
  <c r="F173" i="5"/>
  <c r="F172" i="5"/>
  <c r="F171" i="5"/>
  <c r="F170" i="5"/>
  <c r="F169" i="5"/>
  <c r="F168" i="5"/>
  <c r="F167" i="5"/>
  <c r="F166" i="5"/>
  <c r="F165" i="5"/>
  <c r="F164" i="5"/>
  <c r="F163" i="5"/>
  <c r="G163" i="5" s="1"/>
  <c r="F162" i="5"/>
  <c r="F161" i="5"/>
  <c r="F160" i="5"/>
  <c r="F159" i="5"/>
  <c r="F158" i="5"/>
  <c r="F157" i="5"/>
  <c r="F156" i="5"/>
  <c r="G156" i="5" s="1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G139" i="5" s="1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G120" i="5" s="1"/>
  <c r="F119" i="5"/>
  <c r="F118" i="5"/>
  <c r="F117" i="5"/>
  <c r="F116" i="5"/>
  <c r="F115" i="5"/>
  <c r="G115" i="5" s="1"/>
  <c r="F114" i="5"/>
  <c r="G114" i="5" s="1"/>
  <c r="F113" i="5"/>
  <c r="F112" i="5"/>
  <c r="F111" i="5"/>
  <c r="F110" i="5"/>
  <c r="F109" i="5"/>
  <c r="F108" i="5"/>
  <c r="G108" i="5" s="1"/>
  <c r="F107" i="5"/>
  <c r="F106" i="5"/>
  <c r="F105" i="5"/>
  <c r="F104" i="5"/>
  <c r="F103" i="5"/>
  <c r="G103" i="5" s="1"/>
  <c r="F102" i="5"/>
  <c r="F101" i="5"/>
  <c r="F100" i="5"/>
  <c r="F99" i="5"/>
  <c r="F98" i="5"/>
  <c r="F97" i="5"/>
  <c r="F96" i="5"/>
  <c r="F95" i="5"/>
  <c r="F94" i="5"/>
  <c r="F93" i="5"/>
  <c r="F92" i="5"/>
  <c r="F91" i="5"/>
  <c r="G91" i="5" s="1"/>
  <c r="F90" i="5"/>
  <c r="G90" i="5" s="1"/>
  <c r="F89" i="5"/>
  <c r="F88" i="5"/>
  <c r="F87" i="5"/>
  <c r="F86" i="5"/>
  <c r="F85" i="5"/>
  <c r="F84" i="5"/>
  <c r="G84" i="5" s="1"/>
  <c r="F83" i="5"/>
  <c r="F82" i="5"/>
  <c r="F81" i="5"/>
  <c r="F80" i="5"/>
  <c r="F79" i="5"/>
  <c r="F78" i="5"/>
  <c r="G78" i="5" s="1"/>
  <c r="F77" i="5"/>
  <c r="F76" i="5"/>
  <c r="F75" i="5"/>
  <c r="F74" i="5"/>
  <c r="F73" i="5"/>
  <c r="F72" i="5"/>
  <c r="F71" i="5"/>
  <c r="F70" i="5"/>
  <c r="F69" i="5"/>
  <c r="F68" i="5"/>
  <c r="F67" i="5"/>
  <c r="G67" i="5" s="1"/>
  <c r="F66" i="5"/>
  <c r="G66" i="5" s="1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G48" i="5" s="1"/>
  <c r="F47" i="5"/>
  <c r="F46" i="5"/>
  <c r="F45" i="5"/>
  <c r="F44" i="5"/>
  <c r="F43" i="5"/>
  <c r="F42" i="5"/>
  <c r="F41" i="5"/>
  <c r="F40" i="5"/>
  <c r="F39" i="5"/>
  <c r="F38" i="5"/>
  <c r="F37" i="5"/>
  <c r="G37" i="5" s="1"/>
  <c r="F36" i="5"/>
  <c r="G36" i="5" s="1"/>
  <c r="F35" i="5"/>
  <c r="F34" i="5"/>
  <c r="G34" i="5" s="1"/>
  <c r="F33" i="5"/>
  <c r="F32" i="5"/>
  <c r="F31" i="5"/>
  <c r="F30" i="5"/>
  <c r="F29" i="5"/>
  <c r="F28" i="5"/>
  <c r="F27" i="5"/>
  <c r="F26" i="5"/>
  <c r="F25" i="5"/>
  <c r="G25" i="5" s="1"/>
  <c r="F24" i="5"/>
  <c r="G24" i="5" s="1"/>
  <c r="F23" i="5"/>
  <c r="F22" i="5"/>
  <c r="G22" i="5" s="1"/>
  <c r="F21" i="5"/>
  <c r="F20" i="5"/>
  <c r="F19" i="5"/>
  <c r="F18" i="5"/>
  <c r="F17" i="5"/>
  <c r="F16" i="5"/>
  <c r="F15" i="5"/>
  <c r="F14" i="5"/>
  <c r="F13" i="5"/>
  <c r="G13" i="5" s="1"/>
  <c r="F12" i="5"/>
  <c r="G12" i="5" s="1"/>
  <c r="F11" i="5"/>
  <c r="F10" i="5"/>
  <c r="G10" i="5" s="1"/>
  <c r="F9" i="5"/>
  <c r="F8" i="5"/>
  <c r="F7" i="5"/>
  <c r="F6" i="5"/>
  <c r="F5" i="5"/>
  <c r="F4" i="5"/>
  <c r="F3" i="5"/>
  <c r="F242" i="4"/>
  <c r="I242" i="4" s="1"/>
  <c r="F241" i="4"/>
  <c r="I241" i="4" s="1"/>
  <c r="F240" i="4"/>
  <c r="F239" i="4"/>
  <c r="F238" i="4"/>
  <c r="I238" i="4" s="1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I205" i="4" s="1"/>
  <c r="F204" i="4"/>
  <c r="F203" i="4"/>
  <c r="F202" i="4"/>
  <c r="I202" i="4" s="1"/>
  <c r="F201" i="4"/>
  <c r="I201" i="4" s="1"/>
  <c r="F200" i="4"/>
  <c r="I200" i="4" s="1"/>
  <c r="F199" i="4"/>
  <c r="F198" i="4"/>
  <c r="I198" i="4" s="1"/>
  <c r="F197" i="4"/>
  <c r="I197" i="4" s="1"/>
  <c r="F196" i="4"/>
  <c r="I196" i="4" s="1"/>
  <c r="F195" i="4"/>
  <c r="F194" i="4"/>
  <c r="F193" i="4"/>
  <c r="F192" i="4"/>
  <c r="F191" i="4"/>
  <c r="G191" i="4" s="1"/>
  <c r="F190" i="4"/>
  <c r="G190" i="4" s="1"/>
  <c r="F189" i="4"/>
  <c r="I189" i="4" s="1"/>
  <c r="F188" i="4"/>
  <c r="I188" i="4" s="1"/>
  <c r="F187" i="4"/>
  <c r="F186" i="4"/>
  <c r="I186" i="4" s="1"/>
  <c r="F185" i="4"/>
  <c r="F184" i="4"/>
  <c r="I184" i="4" s="1"/>
  <c r="F183" i="4"/>
  <c r="F182" i="4"/>
  <c r="F181" i="4"/>
  <c r="F180" i="4"/>
  <c r="F179" i="4"/>
  <c r="G179" i="4" s="1"/>
  <c r="F178" i="4"/>
  <c r="G178" i="4" s="1"/>
  <c r="F177" i="4"/>
  <c r="I177" i="4" s="1"/>
  <c r="F176" i="4"/>
  <c r="F175" i="4"/>
  <c r="F174" i="4"/>
  <c r="F173" i="4"/>
  <c r="F172" i="4"/>
  <c r="F171" i="4"/>
  <c r="I171" i="4" s="1"/>
  <c r="F170" i="4"/>
  <c r="F169" i="4"/>
  <c r="F168" i="4"/>
  <c r="F167" i="4"/>
  <c r="G167" i="4" s="1"/>
  <c r="F166" i="4"/>
  <c r="G166" i="4" s="1"/>
  <c r="F165" i="4"/>
  <c r="F164" i="4"/>
  <c r="F163" i="4"/>
  <c r="F162" i="4"/>
  <c r="G162" i="4" s="1"/>
  <c r="F161" i="4"/>
  <c r="F160" i="4"/>
  <c r="F159" i="4"/>
  <c r="F158" i="4"/>
  <c r="F157" i="4"/>
  <c r="F156" i="4"/>
  <c r="G156" i="4" s="1"/>
  <c r="F155" i="4"/>
  <c r="F154" i="4"/>
  <c r="G154" i="4" s="1"/>
  <c r="F153" i="4"/>
  <c r="G153" i="4" s="1"/>
  <c r="F152" i="4"/>
  <c r="F151" i="4"/>
  <c r="F150" i="4"/>
  <c r="G150" i="4" s="1"/>
  <c r="F149" i="4"/>
  <c r="F148" i="4"/>
  <c r="F147" i="4"/>
  <c r="I147" i="4" s="1"/>
  <c r="F146" i="4"/>
  <c r="F145" i="4"/>
  <c r="F144" i="4"/>
  <c r="G144" i="4" s="1"/>
  <c r="F143" i="4"/>
  <c r="F142" i="4"/>
  <c r="G142" i="4" s="1"/>
  <c r="F141" i="4"/>
  <c r="G141" i="4" s="1"/>
  <c r="F140" i="4"/>
  <c r="F139" i="4"/>
  <c r="F138" i="4"/>
  <c r="G138" i="4" s="1"/>
  <c r="F137" i="4"/>
  <c r="F136" i="4"/>
  <c r="F135" i="4"/>
  <c r="G135" i="4" s="1"/>
  <c r="F134" i="4"/>
  <c r="F133" i="4"/>
  <c r="F132" i="4"/>
  <c r="G132" i="4" s="1"/>
  <c r="F131" i="4"/>
  <c r="F130" i="4"/>
  <c r="G130" i="4" s="1"/>
  <c r="F129" i="4"/>
  <c r="G129" i="4" s="1"/>
  <c r="F128" i="4"/>
  <c r="F127" i="4"/>
  <c r="F126" i="4"/>
  <c r="G126" i="4" s="1"/>
  <c r="F125" i="4"/>
  <c r="F124" i="4"/>
  <c r="F123" i="4"/>
  <c r="F122" i="4"/>
  <c r="F121" i="4"/>
  <c r="F120" i="4"/>
  <c r="G120" i="4" s="1"/>
  <c r="F119" i="4"/>
  <c r="G119" i="4" s="1"/>
  <c r="F118" i="4"/>
  <c r="G118" i="4" s="1"/>
  <c r="F117" i="4"/>
  <c r="G117" i="4" s="1"/>
  <c r="F116" i="4"/>
  <c r="F115" i="4"/>
  <c r="F114" i="4"/>
  <c r="G114" i="4" s="1"/>
  <c r="F113" i="4"/>
  <c r="F112" i="4"/>
  <c r="F111" i="4"/>
  <c r="G111" i="4" s="1"/>
  <c r="F110" i="4"/>
  <c r="F109" i="4"/>
  <c r="F108" i="4"/>
  <c r="F107" i="4"/>
  <c r="F106" i="4"/>
  <c r="G106" i="4" s="1"/>
  <c r="F105" i="4"/>
  <c r="G105" i="4" s="1"/>
  <c r="F104" i="4"/>
  <c r="F103" i="4"/>
  <c r="F102" i="4"/>
  <c r="G102" i="4" s="1"/>
  <c r="F101" i="4"/>
  <c r="F100" i="4"/>
  <c r="G100" i="4" s="1"/>
  <c r="F99" i="4"/>
  <c r="F98" i="4"/>
  <c r="F97" i="4"/>
  <c r="F96" i="4"/>
  <c r="F95" i="4"/>
  <c r="F94" i="4"/>
  <c r="G94" i="4" s="1"/>
  <c r="F93" i="4"/>
  <c r="G93" i="4" s="1"/>
  <c r="F92" i="4"/>
  <c r="F91" i="4"/>
  <c r="G91" i="4" s="1"/>
  <c r="F90" i="4"/>
  <c r="G90" i="4" s="1"/>
  <c r="F89" i="4"/>
  <c r="F88" i="4"/>
  <c r="G88" i="4" s="1"/>
  <c r="F87" i="4"/>
  <c r="F86" i="4"/>
  <c r="F85" i="4"/>
  <c r="F84" i="4"/>
  <c r="F83" i="4"/>
  <c r="F82" i="4"/>
  <c r="G82" i="4" s="1"/>
  <c r="F81" i="4"/>
  <c r="F80" i="4"/>
  <c r="F79" i="4"/>
  <c r="G79" i="4" s="1"/>
  <c r="F78" i="4"/>
  <c r="G78" i="4" s="1"/>
  <c r="F77" i="4"/>
  <c r="F76" i="4"/>
  <c r="F75" i="4"/>
  <c r="G75" i="4" s="1"/>
  <c r="F74" i="4"/>
  <c r="F73" i="4"/>
  <c r="F72" i="4"/>
  <c r="F71" i="4"/>
  <c r="F70" i="4"/>
  <c r="G70" i="4" s="1"/>
  <c r="F69" i="4"/>
  <c r="G69" i="4" s="1"/>
  <c r="F68" i="4"/>
  <c r="F67" i="4"/>
  <c r="F66" i="4"/>
  <c r="G66" i="4" s="1"/>
  <c r="F65" i="4"/>
  <c r="F64" i="4"/>
  <c r="G64" i="4" s="1"/>
  <c r="F63" i="4"/>
  <c r="F62" i="4"/>
  <c r="F61" i="4"/>
  <c r="F60" i="4"/>
  <c r="F59" i="4"/>
  <c r="F58" i="4"/>
  <c r="G58" i="4" s="1"/>
  <c r="F57" i="4"/>
  <c r="G57" i="4" s="1"/>
  <c r="F56" i="4"/>
  <c r="F55" i="4"/>
  <c r="G55" i="4" s="1"/>
  <c r="F54" i="4"/>
  <c r="G54" i="4" s="1"/>
  <c r="F53" i="4"/>
  <c r="F52" i="4"/>
  <c r="G52" i="4" s="1"/>
  <c r="F51" i="4"/>
  <c r="G51" i="4" s="1"/>
  <c r="F50" i="4"/>
  <c r="F49" i="4"/>
  <c r="F48" i="4"/>
  <c r="G48" i="4" s="1"/>
  <c r="F47" i="4"/>
  <c r="F46" i="4"/>
  <c r="G46" i="4" s="1"/>
  <c r="F45" i="4"/>
  <c r="G45" i="4" s="1"/>
  <c r="F44" i="4"/>
  <c r="F43" i="4"/>
  <c r="G43" i="4" s="1"/>
  <c r="F42" i="4"/>
  <c r="G42" i="4" s="1"/>
  <c r="F41" i="4"/>
  <c r="F40" i="4"/>
  <c r="F39" i="4"/>
  <c r="F38" i="4"/>
  <c r="F37" i="4"/>
  <c r="F36" i="4"/>
  <c r="F35" i="4"/>
  <c r="F34" i="4"/>
  <c r="G34" i="4" s="1"/>
  <c r="F33" i="4"/>
  <c r="G33" i="4" s="1"/>
  <c r="F32" i="4"/>
  <c r="F31" i="4"/>
  <c r="F30" i="4"/>
  <c r="G30" i="4" s="1"/>
  <c r="F29" i="4"/>
  <c r="F28" i="4"/>
  <c r="G28" i="4" s="1"/>
  <c r="F27" i="4"/>
  <c r="F26" i="4"/>
  <c r="F25" i="4"/>
  <c r="F24" i="4"/>
  <c r="F23" i="4"/>
  <c r="F22" i="4"/>
  <c r="G22" i="4" s="1"/>
  <c r="F21" i="4"/>
  <c r="G21" i="4" s="1"/>
  <c r="F20" i="4"/>
  <c r="F19" i="4"/>
  <c r="G19" i="4" s="1"/>
  <c r="F18" i="4"/>
  <c r="G18" i="4" s="1"/>
  <c r="F17" i="4"/>
  <c r="F16" i="4"/>
  <c r="G16" i="4" s="1"/>
  <c r="F15" i="4"/>
  <c r="F14" i="4"/>
  <c r="F13" i="4"/>
  <c r="F12" i="4"/>
  <c r="F11" i="4"/>
  <c r="F10" i="4"/>
  <c r="G10" i="4" s="1"/>
  <c r="F9" i="4"/>
  <c r="G9" i="4" s="1"/>
  <c r="F8" i="4"/>
  <c r="F7" i="4"/>
  <c r="G7" i="4" s="1"/>
  <c r="F6" i="4"/>
  <c r="G6" i="4" s="1"/>
  <c r="F5" i="4"/>
  <c r="F4" i="4"/>
  <c r="F3" i="4"/>
  <c r="G3" i="4" s="1"/>
  <c r="G188" i="5" l="1"/>
  <c r="G126" i="5"/>
  <c r="G138" i="5"/>
  <c r="G150" i="5"/>
  <c r="G162" i="5"/>
  <c r="G174" i="5"/>
  <c r="G186" i="5"/>
  <c r="G198" i="5"/>
  <c r="G210" i="5"/>
  <c r="G222" i="5"/>
  <c r="G4" i="5"/>
  <c r="G16" i="5"/>
  <c r="G28" i="5"/>
  <c r="G40" i="5"/>
  <c r="G52" i="5"/>
  <c r="G76" i="5"/>
  <c r="G88" i="5"/>
  <c r="G100" i="5"/>
  <c r="G112" i="5"/>
  <c r="G124" i="5"/>
  <c r="G148" i="5"/>
  <c r="G160" i="5"/>
  <c r="G172" i="5"/>
  <c r="G184" i="5"/>
  <c r="G196" i="5"/>
  <c r="G220" i="5"/>
  <c r="G211" i="5"/>
  <c r="G8" i="5"/>
  <c r="G68" i="5"/>
  <c r="G116" i="5"/>
  <c r="G46" i="5"/>
  <c r="G58" i="5"/>
  <c r="G70" i="5"/>
  <c r="G82" i="5"/>
  <c r="G94" i="5"/>
  <c r="G106" i="5"/>
  <c r="G118" i="5"/>
  <c r="G130" i="5"/>
  <c r="G142" i="5"/>
  <c r="G154" i="5"/>
  <c r="G166" i="5"/>
  <c r="G178" i="5"/>
  <c r="G190" i="5"/>
  <c r="G202" i="5"/>
  <c r="G214" i="5"/>
  <c r="G226" i="5"/>
  <c r="I239" i="5"/>
  <c r="G228" i="5"/>
  <c r="I230" i="5"/>
  <c r="I86" i="5"/>
  <c r="G75" i="5"/>
  <c r="G147" i="5"/>
  <c r="G219" i="5"/>
  <c r="G232" i="5"/>
  <c r="G53" i="5"/>
  <c r="G65" i="5"/>
  <c r="G77" i="5"/>
  <c r="G89" i="5"/>
  <c r="G101" i="5"/>
  <c r="G113" i="5"/>
  <c r="G125" i="5"/>
  <c r="G137" i="5"/>
  <c r="G149" i="5"/>
  <c r="G161" i="5"/>
  <c r="G173" i="5"/>
  <c r="G185" i="5"/>
  <c r="G197" i="5"/>
  <c r="G209" i="5"/>
  <c r="G221" i="5"/>
  <c r="I19" i="5"/>
  <c r="I43" i="5"/>
  <c r="I80" i="5"/>
  <c r="I152" i="5"/>
  <c r="I224" i="5"/>
  <c r="I96" i="5"/>
  <c r="I7" i="5"/>
  <c r="I31" i="5"/>
  <c r="I141" i="5"/>
  <c r="I237" i="5"/>
  <c r="K42" i="1" a="1"/>
  <c r="K42" i="1" s="1"/>
  <c r="K240" i="1" a="1"/>
  <c r="K240" i="1" s="1"/>
  <c r="K232" i="1" a="1"/>
  <c r="K232" i="1" s="1"/>
  <c r="K179" i="1" a="1"/>
  <c r="K179" i="1" s="1"/>
  <c r="K107" i="1" a="1"/>
  <c r="K107" i="1" s="1"/>
  <c r="K35" i="1" a="1"/>
  <c r="K35" i="1" s="1"/>
  <c r="K214" i="1" a="1"/>
  <c r="K214" i="1" s="1"/>
  <c r="K178" i="1" a="1"/>
  <c r="K178" i="1" s="1"/>
  <c r="K116" i="1" a="1"/>
  <c r="K116" i="1" s="1"/>
  <c r="K70" i="1" a="1"/>
  <c r="K70" i="1" s="1"/>
  <c r="K9" i="1" a="1"/>
  <c r="K9" i="1" s="1"/>
  <c r="K165" i="1" a="1"/>
  <c r="K165" i="1" s="1"/>
  <c r="K105" i="1" a="1"/>
  <c r="K105" i="1" s="1"/>
  <c r="K199" i="1" a="1"/>
  <c r="K199" i="1" s="1"/>
  <c r="K56" i="1" a="1"/>
  <c r="K56" i="1" s="1"/>
  <c r="K115" i="1" a="1"/>
  <c r="K115" i="1" s="1"/>
  <c r="K79" i="1" a="1"/>
  <c r="K79" i="1" s="1"/>
  <c r="K207" i="1" a="1"/>
  <c r="K207" i="1" s="1"/>
  <c r="K159" i="1" a="1"/>
  <c r="K159" i="1" s="1"/>
  <c r="K114" i="1" a="1"/>
  <c r="K114" i="1" s="1"/>
  <c r="K78" i="1" a="1"/>
  <c r="K78" i="1" s="1"/>
  <c r="K30" i="1" a="1"/>
  <c r="K30" i="1" s="1"/>
  <c r="K173" i="1" a="1"/>
  <c r="K173" i="1" s="1"/>
  <c r="K149" i="1" a="1"/>
  <c r="K149" i="1" s="1"/>
  <c r="K113" i="1" a="1"/>
  <c r="K113" i="1" s="1"/>
  <c r="K77" i="1" a="1"/>
  <c r="K77" i="1" s="1"/>
  <c r="K65" i="1" a="1"/>
  <c r="K65" i="1" s="1"/>
  <c r="K29" i="1" a="1"/>
  <c r="K29" i="1" s="1"/>
  <c r="K208" i="1" a="1"/>
  <c r="K208" i="1" s="1"/>
  <c r="K184" i="1" a="1"/>
  <c r="K184" i="1" s="1"/>
  <c r="K172" i="1" a="1"/>
  <c r="K172" i="1" s="1"/>
  <c r="K148" i="1" a="1"/>
  <c r="K148" i="1" s="1"/>
  <c r="K136" i="1" a="1"/>
  <c r="K136" i="1" s="1"/>
  <c r="K112" i="1" a="1"/>
  <c r="K112" i="1" s="1"/>
  <c r="K100" i="1" a="1"/>
  <c r="K100" i="1" s="1"/>
  <c r="K76" i="1" a="1"/>
  <c r="K76" i="1" s="1"/>
  <c r="K63" i="1" a="1"/>
  <c r="K63" i="1" s="1"/>
  <c r="K28" i="1" a="1"/>
  <c r="K28" i="1" s="1"/>
  <c r="K16" i="1" a="1"/>
  <c r="K16" i="1" s="1"/>
  <c r="K4" i="1" a="1"/>
  <c r="K4" i="1" s="1"/>
  <c r="K143" i="1" a="1"/>
  <c r="K143" i="1" s="1"/>
  <c r="K23" i="1" a="1"/>
  <c r="K23" i="1" s="1"/>
  <c r="K164" i="1" a="1"/>
  <c r="K164" i="1" s="1"/>
  <c r="K106" i="1" a="1"/>
  <c r="K106" i="1" s="1"/>
  <c r="K34" i="1" a="1"/>
  <c r="K34" i="1" s="1"/>
  <c r="K141" i="1" a="1"/>
  <c r="K141" i="1" s="1"/>
  <c r="K223" i="1" a="1"/>
  <c r="K223" i="1" s="1"/>
  <c r="K163" i="1" a="1"/>
  <c r="K163" i="1" s="1"/>
  <c r="K43" i="1" a="1"/>
  <c r="K43" i="1" s="1"/>
  <c r="K195" i="1" a="1"/>
  <c r="K195" i="1" s="1"/>
  <c r="K150" i="1" a="1"/>
  <c r="K150" i="1" s="1"/>
  <c r="K66" i="1" a="1"/>
  <c r="K66" i="1" s="1"/>
  <c r="K185" i="1" a="1"/>
  <c r="K185" i="1" s="1"/>
  <c r="K137" i="1" a="1"/>
  <c r="K137" i="1" s="1"/>
  <c r="K101" i="1" a="1"/>
  <c r="K101" i="1" s="1"/>
  <c r="K41" i="1" a="1"/>
  <c r="K41" i="1" s="1"/>
  <c r="K220" i="1" a="1"/>
  <c r="K220" i="1" s="1"/>
  <c r="K27" i="1" a="1"/>
  <c r="K27" i="1" s="1"/>
  <c r="K15" i="1" a="1"/>
  <c r="K15" i="1" s="1"/>
  <c r="K3" i="1" a="1"/>
  <c r="K3" i="1" s="1"/>
  <c r="K196" i="1" a="1"/>
  <c r="K196" i="1" s="1"/>
  <c r="K131" i="1" a="1"/>
  <c r="K131" i="1" s="1"/>
  <c r="K52" i="1" a="1"/>
  <c r="K52" i="1" s="1"/>
  <c r="K236" i="1" a="1"/>
  <c r="K236" i="1" s="1"/>
  <c r="K188" i="1" a="1"/>
  <c r="K188" i="1" s="1"/>
  <c r="K128" i="1" a="1"/>
  <c r="K128" i="1" s="1"/>
  <c r="K80" i="1" a="1"/>
  <c r="K80" i="1" s="1"/>
  <c r="K21" i="1" a="1"/>
  <c r="K21" i="1" s="1"/>
  <c r="K201" i="1" a="1"/>
  <c r="K201" i="1" s="1"/>
  <c r="K129" i="1" a="1"/>
  <c r="K129" i="1" s="1"/>
  <c r="K57" i="1" a="1"/>
  <c r="K57" i="1" s="1"/>
  <c r="K8" i="1" a="1"/>
  <c r="K8" i="1" s="1"/>
  <c r="K151" i="1" a="1"/>
  <c r="K151" i="1" s="1"/>
  <c r="K91" i="1" a="1"/>
  <c r="K91" i="1" s="1"/>
  <c r="K221" i="1" a="1"/>
  <c r="K221" i="1" s="1"/>
  <c r="K171" i="1" a="1"/>
  <c r="K171" i="1" s="1"/>
  <c r="K123" i="1" a="1"/>
  <c r="K123" i="1" s="1"/>
  <c r="K87" i="1" a="1"/>
  <c r="K87" i="1" s="1"/>
  <c r="K17" i="1" a="1"/>
  <c r="K17" i="1" s="1"/>
  <c r="K227" i="1" a="1"/>
  <c r="K227" i="1" s="1"/>
  <c r="K206" i="1" a="1"/>
  <c r="K206" i="1" s="1"/>
  <c r="K191" i="1" a="1"/>
  <c r="K191" i="1" s="1"/>
  <c r="K170" i="1" a="1"/>
  <c r="K170" i="1" s="1"/>
  <c r="K158" i="1" a="1"/>
  <c r="K158" i="1" s="1"/>
  <c r="K140" i="1" a="1"/>
  <c r="K140" i="1" s="1"/>
  <c r="K133" i="1" a="1"/>
  <c r="K133" i="1" s="1"/>
  <c r="K119" i="1" a="1"/>
  <c r="K119" i="1" s="1"/>
  <c r="K110" i="1" a="1"/>
  <c r="K110" i="1" s="1"/>
  <c r="K97" i="1" a="1"/>
  <c r="K97" i="1" s="1"/>
  <c r="K75" i="1" a="1"/>
  <c r="K75" i="1" s="1"/>
  <c r="K74" i="1" a="1"/>
  <c r="K74" i="1" s="1"/>
  <c r="K62" i="1" a="1"/>
  <c r="K62" i="1" s="1"/>
  <c r="K40" i="1" a="1"/>
  <c r="K40" i="1" s="1"/>
  <c r="K38" i="1" a="1"/>
  <c r="K38" i="1" s="1"/>
  <c r="K26" i="1" a="1"/>
  <c r="K26" i="1" s="1"/>
  <c r="K14" i="1" a="1"/>
  <c r="K14" i="1" s="1"/>
  <c r="K160" i="1" a="1"/>
  <c r="K160" i="1" s="1"/>
  <c r="K88" i="1" a="1"/>
  <c r="K88" i="1" s="1"/>
  <c r="K5" i="1" a="1"/>
  <c r="K5" i="1" s="1"/>
  <c r="K200" i="1" a="1"/>
  <c r="K200" i="1" s="1"/>
  <c r="K142" i="1" a="1"/>
  <c r="K142" i="1" s="1"/>
  <c r="K92" i="1" a="1"/>
  <c r="K92" i="1" s="1"/>
  <c r="K44" i="1" a="1"/>
  <c r="K44" i="1" s="1"/>
  <c r="K237" i="1" a="1"/>
  <c r="K237" i="1" s="1"/>
  <c r="K177" i="1" a="1"/>
  <c r="K177" i="1" s="1"/>
  <c r="K69" i="1" a="1"/>
  <c r="K69" i="1" s="1"/>
  <c r="K235" i="1" a="1"/>
  <c r="K235" i="1" s="1"/>
  <c r="K187" i="1" a="1"/>
  <c r="K187" i="1" s="1"/>
  <c r="K127" i="1" a="1"/>
  <c r="K127" i="1" s="1"/>
  <c r="K55" i="1" a="1"/>
  <c r="K55" i="1" s="1"/>
  <c r="K231" i="1" a="1"/>
  <c r="K231" i="1" s="1"/>
  <c r="K186" i="1" a="1"/>
  <c r="K186" i="1" s="1"/>
  <c r="K135" i="1" a="1"/>
  <c r="K135" i="1" s="1"/>
  <c r="K99" i="1" a="1"/>
  <c r="K99" i="1" s="1"/>
  <c r="K51" i="1" a="1"/>
  <c r="K51" i="1" s="1"/>
  <c r="K218" i="1" a="1"/>
  <c r="K218" i="1" s="1"/>
  <c r="K182" i="1" a="1"/>
  <c r="K182" i="1" s="1"/>
  <c r="K229" i="1" a="1"/>
  <c r="K229" i="1" s="1"/>
  <c r="K217" i="1" a="1"/>
  <c r="K217" i="1" s="1"/>
  <c r="K193" i="1" a="1"/>
  <c r="K193" i="1" s="1"/>
  <c r="K181" i="1" a="1"/>
  <c r="K181" i="1" s="1"/>
  <c r="K157" i="1" a="1"/>
  <c r="K157" i="1" s="1"/>
  <c r="K145" i="1" a="1"/>
  <c r="K145" i="1" s="1"/>
  <c r="K121" i="1" a="1"/>
  <c r="K121" i="1" s="1"/>
  <c r="K109" i="1" a="1"/>
  <c r="K109" i="1" s="1"/>
  <c r="K85" i="1" a="1"/>
  <c r="K85" i="1" s="1"/>
  <c r="K73" i="1" a="1"/>
  <c r="K73" i="1" s="1"/>
  <c r="K49" i="1" a="1"/>
  <c r="K49" i="1" s="1"/>
  <c r="K37" i="1" a="1"/>
  <c r="K37" i="1" s="1"/>
  <c r="K25" i="1" a="1"/>
  <c r="K25" i="1" s="1"/>
  <c r="K13" i="1" a="1"/>
  <c r="K13" i="1" s="1"/>
  <c r="K215" i="1" a="1"/>
  <c r="K215" i="1" s="1"/>
  <c r="K71" i="1" a="1"/>
  <c r="K71" i="1" s="1"/>
  <c r="K224" i="1" a="1"/>
  <c r="K224" i="1" s="1"/>
  <c r="K152" i="1" a="1"/>
  <c r="K152" i="1" s="1"/>
  <c r="K58" i="1" a="1"/>
  <c r="K58" i="1" s="1"/>
  <c r="K213" i="1" a="1"/>
  <c r="K213" i="1" s="1"/>
  <c r="K93" i="1" a="1"/>
  <c r="K93" i="1" s="1"/>
  <c r="K225" i="1" a="1"/>
  <c r="K225" i="1" s="1"/>
  <c r="K216" i="1" a="1"/>
  <c r="K216" i="1" s="1"/>
  <c r="K197" i="1" a="1"/>
  <c r="K197" i="1" s="1"/>
  <c r="K192" i="1" a="1"/>
  <c r="K192" i="1" s="1"/>
  <c r="K175" i="1" a="1"/>
  <c r="K175" i="1" s="1"/>
  <c r="K161" i="1" a="1"/>
  <c r="K161" i="1" s="1"/>
  <c r="K156" i="1" a="1"/>
  <c r="K156" i="1" s="1"/>
  <c r="K139" i="1" a="1"/>
  <c r="K139" i="1" s="1"/>
  <c r="K132" i="1" a="1"/>
  <c r="K132" i="1" s="1"/>
  <c r="K120" i="1" a="1"/>
  <c r="K120" i="1" s="1"/>
  <c r="K108" i="1" a="1"/>
  <c r="K108" i="1" s="1"/>
  <c r="K96" i="1" a="1"/>
  <c r="K96" i="1" s="1"/>
  <c r="K84" i="1" a="1"/>
  <c r="K84" i="1" s="1"/>
  <c r="K67" i="1" a="1"/>
  <c r="K67" i="1" s="1"/>
  <c r="K53" i="1" a="1"/>
  <c r="K53" i="1" s="1"/>
  <c r="K48" i="1" a="1"/>
  <c r="K48" i="1" s="1"/>
  <c r="K32" i="1" a="1"/>
  <c r="K32" i="1" s="1"/>
  <c r="K24" i="1" a="1"/>
  <c r="K24" i="1" s="1"/>
  <c r="K6" i="1" a="1"/>
  <c r="K6" i="1" s="1"/>
  <c r="K183" i="1" a="1"/>
  <c r="K183" i="1" s="1"/>
  <c r="K7" i="1" a="1"/>
  <c r="K7" i="1" s="1"/>
  <c r="K198" i="1" a="1"/>
  <c r="K198" i="1" s="1"/>
  <c r="K147" i="1" a="1"/>
  <c r="K147" i="1" s="1"/>
  <c r="K104" i="1" a="1"/>
  <c r="K104" i="1" s="1"/>
  <c r="K47" i="1" a="1"/>
  <c r="K47" i="1" s="1"/>
  <c r="K39" i="1" a="1"/>
  <c r="K39" i="1" s="1"/>
  <c r="K19" i="1" a="1"/>
  <c r="K19" i="1" s="1"/>
  <c r="K211" i="1" a="1"/>
  <c r="K211" i="1" s="1"/>
  <c r="K168" i="1" a="1"/>
  <c r="K168" i="1" s="1"/>
  <c r="K117" i="1" a="1"/>
  <c r="K117" i="1" s="1"/>
  <c r="K45" i="1" a="1"/>
  <c r="K45" i="1" s="1"/>
  <c r="K12" i="1" a="1"/>
  <c r="K12" i="1" s="1"/>
  <c r="K124" i="1" a="1"/>
  <c r="K124" i="1" s="1"/>
  <c r="K31" i="1" a="1"/>
  <c r="K31" i="1" s="1"/>
  <c r="K239" i="1" a="1"/>
  <c r="K239" i="1" s="1"/>
  <c r="K203" i="1" a="1"/>
  <c r="K203" i="1" s="1"/>
  <c r="K138" i="1" a="1"/>
  <c r="K138" i="1" s="1"/>
  <c r="K95" i="1" a="1"/>
  <c r="K95" i="1" s="1"/>
  <c r="K59" i="1" a="1"/>
  <c r="K59" i="1" s="1"/>
  <c r="K238" i="1" a="1"/>
  <c r="K238" i="1" s="1"/>
  <c r="K202" i="1" a="1"/>
  <c r="K202" i="1" s="1"/>
  <c r="K166" i="1" a="1"/>
  <c r="K166" i="1" s="1"/>
  <c r="K130" i="1" a="1"/>
  <c r="K130" i="1" s="1"/>
  <c r="K94" i="1" a="1"/>
  <c r="K94" i="1" s="1"/>
  <c r="K241" i="1" a="1"/>
  <c r="K241" i="1" s="1"/>
  <c r="K205" i="1" a="1"/>
  <c r="K205" i="1" s="1"/>
  <c r="K155" i="1" a="1"/>
  <c r="K155" i="1" s="1"/>
  <c r="K111" i="1" a="1"/>
  <c r="K111" i="1" s="1"/>
  <c r="K54" i="1" a="1"/>
  <c r="K54" i="1" s="1"/>
  <c r="K190" i="1" a="1"/>
  <c r="K190" i="1" s="1"/>
  <c r="K233" i="1" a="1"/>
  <c r="K233" i="1" s="1"/>
  <c r="K189" i="1" a="1"/>
  <c r="K189" i="1" s="1"/>
  <c r="K146" i="1" a="1"/>
  <c r="K146" i="1" s="1"/>
  <c r="K103" i="1" a="1"/>
  <c r="K103" i="1" s="1"/>
  <c r="K60" i="1" a="1"/>
  <c r="K60" i="1" s="1"/>
  <c r="K18" i="1" a="1"/>
  <c r="K18" i="1" s="1"/>
  <c r="K210" i="1" a="1"/>
  <c r="K210" i="1" s="1"/>
  <c r="K167" i="1" a="1"/>
  <c r="K167" i="1" s="1"/>
  <c r="K102" i="1" a="1"/>
  <c r="K102" i="1" s="1"/>
  <c r="K10" i="1" a="1"/>
  <c r="K10" i="1" s="1"/>
  <c r="K230" i="1" a="1"/>
  <c r="K230" i="1" s="1"/>
  <c r="K209" i="1" a="1"/>
  <c r="K209" i="1" s="1"/>
  <c r="K194" i="1" a="1"/>
  <c r="K194" i="1" s="1"/>
  <c r="K180" i="1" a="1"/>
  <c r="K180" i="1" s="1"/>
  <c r="K144" i="1" a="1"/>
  <c r="K144" i="1" s="1"/>
  <c r="K122" i="1" a="1"/>
  <c r="K122" i="1" s="1"/>
  <c r="K86" i="1" a="1"/>
  <c r="K86" i="1" s="1"/>
  <c r="K72" i="1" a="1"/>
  <c r="K72" i="1" s="1"/>
  <c r="K50" i="1" a="1"/>
  <c r="K50" i="1" s="1"/>
  <c r="K2" i="1" a="1"/>
  <c r="K2" i="1" s="1"/>
  <c r="K219" i="1" a="1"/>
  <c r="K219" i="1" s="1"/>
  <c r="K169" i="1" a="1"/>
  <c r="K169" i="1" s="1"/>
  <c r="K126" i="1" a="1"/>
  <c r="K126" i="1" s="1"/>
  <c r="K83" i="1" a="1"/>
  <c r="K83" i="1" s="1"/>
  <c r="K61" i="1" a="1"/>
  <c r="K61" i="1" s="1"/>
  <c r="K46" i="1" a="1"/>
  <c r="K46" i="1" s="1"/>
  <c r="K204" i="1" a="1"/>
  <c r="K204" i="1" s="1"/>
  <c r="K125" i="1" a="1"/>
  <c r="K125" i="1" s="1"/>
  <c r="K81" i="1" a="1"/>
  <c r="K81" i="1" s="1"/>
  <c r="K11" i="1" a="1"/>
  <c r="K11" i="1" s="1"/>
  <c r="K174" i="1" a="1"/>
  <c r="K174" i="1" s="1"/>
  <c r="K64" i="1" a="1"/>
  <c r="K64" i="1" s="1"/>
  <c r="K36" i="1" a="1"/>
  <c r="K36" i="1" s="1"/>
  <c r="K20" i="1" a="1"/>
  <c r="K20" i="1" s="1"/>
  <c r="K212" i="1" a="1"/>
  <c r="K212" i="1" s="1"/>
  <c r="K162" i="1" a="1"/>
  <c r="K162" i="1" s="1"/>
  <c r="K118" i="1" a="1"/>
  <c r="K118" i="1" s="1"/>
  <c r="K153" i="1" a="1"/>
  <c r="K153" i="1" s="1"/>
  <c r="K22" i="1" a="1"/>
  <c r="K22" i="1" s="1"/>
  <c r="K234" i="1" a="1"/>
  <c r="K234" i="1" s="1"/>
  <c r="K90" i="1" a="1"/>
  <c r="K90" i="1" s="1"/>
  <c r="K68" i="1" a="1"/>
  <c r="K68" i="1" s="1"/>
  <c r="K226" i="1" a="1"/>
  <c r="K226" i="1" s="1"/>
  <c r="K154" i="1" a="1"/>
  <c r="K154" i="1" s="1"/>
  <c r="K89" i="1" a="1"/>
  <c r="K89" i="1" s="1"/>
  <c r="K222" i="1" a="1"/>
  <c r="K222" i="1" s="1"/>
  <c r="K228" i="1" a="1"/>
  <c r="K228" i="1" s="1"/>
  <c r="K134" i="1" a="1"/>
  <c r="K134" i="1" s="1"/>
  <c r="K98" i="1" a="1"/>
  <c r="K98" i="1" s="1"/>
  <c r="K176" i="1" a="1"/>
  <c r="K176" i="1" s="1"/>
  <c r="K82" i="1" a="1"/>
  <c r="K82" i="1" s="1"/>
  <c r="G2" i="5"/>
  <c r="I10" i="5"/>
  <c r="G14" i="5"/>
  <c r="I17" i="5"/>
  <c r="I22" i="5"/>
  <c r="G26" i="5"/>
  <c r="I29" i="5"/>
  <c r="I34" i="5"/>
  <c r="G38" i="5"/>
  <c r="I46" i="5"/>
  <c r="I48" i="5"/>
  <c r="I53" i="5"/>
  <c r="I60" i="5"/>
  <c r="I64" i="5"/>
  <c r="G64" i="5"/>
  <c r="I84" i="5"/>
  <c r="I91" i="5"/>
  <c r="I102" i="5"/>
  <c r="G102" i="5"/>
  <c r="I108" i="5"/>
  <c r="I120" i="5"/>
  <c r="I115" i="5"/>
  <c r="I125" i="5"/>
  <c r="I132" i="5"/>
  <c r="I136" i="5"/>
  <c r="G136" i="5"/>
  <c r="I156" i="5"/>
  <c r="I163" i="5"/>
  <c r="I187" i="5"/>
  <c r="G195" i="5"/>
  <c r="I199" i="5"/>
  <c r="I204" i="5"/>
  <c r="I208" i="5"/>
  <c r="G208" i="5"/>
  <c r="G233" i="5"/>
  <c r="G234" i="5"/>
  <c r="G240" i="5"/>
  <c r="I240" i="5"/>
  <c r="I242" i="5"/>
  <c r="G242" i="5"/>
  <c r="H242" i="5" s="1" a="1"/>
  <c r="H242" i="5" s="1"/>
  <c r="I7" i="4"/>
  <c r="I18" i="4"/>
  <c r="I24" i="4"/>
  <c r="I30" i="4"/>
  <c r="I43" i="4"/>
  <c r="I54" i="4"/>
  <c r="I66" i="4"/>
  <c r="I45" i="4"/>
  <c r="I79" i="4"/>
  <c r="I81" i="4"/>
  <c r="G81" i="4"/>
  <c r="I90" i="4"/>
  <c r="I117" i="4"/>
  <c r="I127" i="4"/>
  <c r="I126" i="4"/>
  <c r="I139" i="4"/>
  <c r="G160" i="4"/>
  <c r="I165" i="4"/>
  <c r="G165" i="4"/>
  <c r="G168" i="4"/>
  <c r="I168" i="4"/>
  <c r="G175" i="4"/>
  <c r="I175" i="4"/>
  <c r="G180" i="4"/>
  <c r="G181" i="4"/>
  <c r="G187" i="4"/>
  <c r="I187" i="4"/>
  <c r="G192" i="4"/>
  <c r="G193" i="4"/>
  <c r="G199" i="4"/>
  <c r="I199" i="4"/>
  <c r="G203" i="4"/>
  <c r="I203" i="4"/>
  <c r="I204" i="4"/>
  <c r="G204" i="4"/>
  <c r="I206" i="4"/>
  <c r="G206" i="4"/>
  <c r="I207" i="4"/>
  <c r="G207" i="4"/>
  <c r="I208" i="4"/>
  <c r="G208" i="4"/>
  <c r="I209" i="4"/>
  <c r="G209" i="4"/>
  <c r="I210" i="4"/>
  <c r="G210" i="4"/>
  <c r="I211" i="4"/>
  <c r="G211" i="4"/>
  <c r="I212" i="4"/>
  <c r="G212" i="4"/>
  <c r="I213" i="4"/>
  <c r="G213" i="4"/>
  <c r="I214" i="4"/>
  <c r="G214" i="4"/>
  <c r="I215" i="4"/>
  <c r="G215" i="4"/>
  <c r="I216" i="4"/>
  <c r="G216" i="4"/>
  <c r="I217" i="4"/>
  <c r="G217" i="4"/>
  <c r="I218" i="4"/>
  <c r="G218" i="4"/>
  <c r="I219" i="4"/>
  <c r="G219" i="4"/>
  <c r="I220" i="4"/>
  <c r="G220" i="4"/>
  <c r="I221" i="4"/>
  <c r="G221" i="4"/>
  <c r="I222" i="4"/>
  <c r="G222" i="4"/>
  <c r="I223" i="4"/>
  <c r="G223" i="4"/>
  <c r="I224" i="4"/>
  <c r="G224" i="4"/>
  <c r="I225" i="4"/>
  <c r="G225" i="4"/>
  <c r="I226" i="4"/>
  <c r="G226" i="4"/>
  <c r="I227" i="4"/>
  <c r="G227" i="4"/>
  <c r="I228" i="4"/>
  <c r="G228" i="4"/>
  <c r="I229" i="4"/>
  <c r="G229" i="4"/>
  <c r="I230" i="4"/>
  <c r="G230" i="4"/>
  <c r="I231" i="4"/>
  <c r="G231" i="4"/>
  <c r="I232" i="4"/>
  <c r="G232" i="4"/>
  <c r="I233" i="4"/>
  <c r="G233" i="4"/>
  <c r="I234" i="4"/>
  <c r="G234" i="4"/>
  <c r="I235" i="4"/>
  <c r="G235" i="4"/>
  <c r="I236" i="4"/>
  <c r="G236" i="4"/>
  <c r="I237" i="4"/>
  <c r="G237" i="4"/>
  <c r="G238" i="4"/>
  <c r="I239" i="4"/>
  <c r="G240" i="4"/>
  <c r="I240" i="4"/>
  <c r="I3" i="5"/>
  <c r="I27" i="5"/>
  <c r="I44" i="5"/>
  <c r="I113" i="5"/>
  <c r="G152" i="5"/>
  <c r="G158" i="5"/>
  <c r="I159" i="5"/>
  <c r="I185" i="5"/>
  <c r="I191" i="5"/>
  <c r="G224" i="5"/>
  <c r="G230" i="5"/>
  <c r="I231" i="5"/>
  <c r="G86" i="5"/>
  <c r="I87" i="5"/>
  <c r="I169" i="5"/>
  <c r="G169" i="5"/>
  <c r="I4" i="5"/>
  <c r="I16" i="5"/>
  <c r="G20" i="5"/>
  <c r="I28" i="5"/>
  <c r="G32" i="5"/>
  <c r="I40" i="5"/>
  <c r="G44" i="5"/>
  <c r="I76" i="5"/>
  <c r="I81" i="5"/>
  <c r="G87" i="5"/>
  <c r="I92" i="5"/>
  <c r="I98" i="5"/>
  <c r="I114" i="5"/>
  <c r="I148" i="5"/>
  <c r="I153" i="5"/>
  <c r="G159" i="5"/>
  <c r="I164" i="5"/>
  <c r="I170" i="5"/>
  <c r="I180" i="5"/>
  <c r="I186" i="5"/>
  <c r="I220" i="5"/>
  <c r="I225" i="5"/>
  <c r="G231" i="5"/>
  <c r="I8" i="5"/>
  <c r="G80" i="5"/>
  <c r="I12" i="5"/>
  <c r="I49" i="5"/>
  <c r="G92" i="5"/>
  <c r="G98" i="5"/>
  <c r="I99" i="5"/>
  <c r="I103" i="5"/>
  <c r="I109" i="5"/>
  <c r="G109" i="5"/>
  <c r="I131" i="5"/>
  <c r="G164" i="5"/>
  <c r="G170" i="5"/>
  <c r="I171" i="5"/>
  <c r="I175" i="5"/>
  <c r="I181" i="5"/>
  <c r="G181" i="5"/>
  <c r="I197" i="5"/>
  <c r="I203" i="5"/>
  <c r="I232" i="5"/>
  <c r="I119" i="5"/>
  <c r="I24" i="5"/>
  <c r="I36" i="5"/>
  <c r="I59" i="5"/>
  <c r="G5" i="5"/>
  <c r="G17" i="5"/>
  <c r="G29" i="5"/>
  <c r="G41" i="5"/>
  <c r="G49" i="5"/>
  <c r="G60" i="5"/>
  <c r="I88" i="5"/>
  <c r="I93" i="5"/>
  <c r="G99" i="5"/>
  <c r="I104" i="5"/>
  <c r="I110" i="5"/>
  <c r="I126" i="5"/>
  <c r="G132" i="5"/>
  <c r="I160" i="5"/>
  <c r="I165" i="5"/>
  <c r="G171" i="5"/>
  <c r="I176" i="5"/>
  <c r="I182" i="5"/>
  <c r="I192" i="5"/>
  <c r="I198" i="5"/>
  <c r="G204" i="5"/>
  <c r="I9" i="5"/>
  <c r="G9" i="5"/>
  <c r="I21" i="5"/>
  <c r="G21" i="5"/>
  <c r="I33" i="5"/>
  <c r="G33" i="5"/>
  <c r="I45" i="5"/>
  <c r="G45" i="5"/>
  <c r="I54" i="5"/>
  <c r="G54" i="5"/>
  <c r="I65" i="5"/>
  <c r="I71" i="5"/>
  <c r="G104" i="5"/>
  <c r="G110" i="5"/>
  <c r="I111" i="5"/>
  <c r="I121" i="5"/>
  <c r="G121" i="5"/>
  <c r="I137" i="5"/>
  <c r="I143" i="5"/>
  <c r="G176" i="5"/>
  <c r="G182" i="5"/>
  <c r="I183" i="5"/>
  <c r="I193" i="5"/>
  <c r="G193" i="5"/>
  <c r="I209" i="5"/>
  <c r="I215" i="5"/>
  <c r="I50" i="5"/>
  <c r="G55" i="5"/>
  <c r="I66" i="5"/>
  <c r="G72" i="5"/>
  <c r="I100" i="5"/>
  <c r="I105" i="5"/>
  <c r="G111" i="5"/>
  <c r="I116" i="5"/>
  <c r="I122" i="5"/>
  <c r="G127" i="5"/>
  <c r="I138" i="5"/>
  <c r="G144" i="5"/>
  <c r="I172" i="5"/>
  <c r="I177" i="5"/>
  <c r="G183" i="5"/>
  <c r="I188" i="5"/>
  <c r="I194" i="5"/>
  <c r="G199" i="5"/>
  <c r="I210" i="5"/>
  <c r="I213" i="5"/>
  <c r="I39" i="5"/>
  <c r="I5" i="5"/>
  <c r="I13" i="5"/>
  <c r="I25" i="5"/>
  <c r="G50" i="5"/>
  <c r="I51" i="5"/>
  <c r="I55" i="5"/>
  <c r="I61" i="5"/>
  <c r="G61" i="5"/>
  <c r="I77" i="5"/>
  <c r="I83" i="5"/>
  <c r="G122" i="5"/>
  <c r="I123" i="5"/>
  <c r="I127" i="5"/>
  <c r="I133" i="5"/>
  <c r="G133" i="5"/>
  <c r="I149" i="5"/>
  <c r="I155" i="5"/>
  <c r="G194" i="5"/>
  <c r="I195" i="5"/>
  <c r="I205" i="5"/>
  <c r="G205" i="5"/>
  <c r="I221" i="5"/>
  <c r="I227" i="5"/>
  <c r="I158" i="5"/>
  <c r="I168" i="5"/>
  <c r="I37" i="5"/>
  <c r="I2" i="5"/>
  <c r="I6" i="5"/>
  <c r="I26" i="5"/>
  <c r="I30" i="5"/>
  <c r="I38" i="5"/>
  <c r="I42" i="5"/>
  <c r="G51" i="5"/>
  <c r="I56" i="5"/>
  <c r="I62" i="5"/>
  <c r="I72" i="5"/>
  <c r="I78" i="5"/>
  <c r="I112" i="5"/>
  <c r="I117" i="5"/>
  <c r="G123" i="5"/>
  <c r="I128" i="5"/>
  <c r="I134" i="5"/>
  <c r="I144" i="5"/>
  <c r="I150" i="5"/>
  <c r="I184" i="5"/>
  <c r="I189" i="5"/>
  <c r="I200" i="5"/>
  <c r="I206" i="5"/>
  <c r="I216" i="5"/>
  <c r="I222" i="5"/>
  <c r="I18" i="5"/>
  <c r="G6" i="5"/>
  <c r="G18" i="5"/>
  <c r="G30" i="5"/>
  <c r="G42" i="5"/>
  <c r="G56" i="5"/>
  <c r="G62" i="5"/>
  <c r="I63" i="5"/>
  <c r="I67" i="5"/>
  <c r="I73" i="5"/>
  <c r="G73" i="5"/>
  <c r="I89" i="5"/>
  <c r="I95" i="5"/>
  <c r="G128" i="5"/>
  <c r="G134" i="5"/>
  <c r="I135" i="5"/>
  <c r="I139" i="5"/>
  <c r="I145" i="5"/>
  <c r="G145" i="5"/>
  <c r="I161" i="5"/>
  <c r="I167" i="5"/>
  <c r="G200" i="5"/>
  <c r="G206" i="5"/>
  <c r="I207" i="5"/>
  <c r="I211" i="5"/>
  <c r="I217" i="5"/>
  <c r="G217" i="5"/>
  <c r="I15" i="5"/>
  <c r="I97" i="5"/>
  <c r="G97" i="5"/>
  <c r="G3" i="5"/>
  <c r="G15" i="5"/>
  <c r="G27" i="5"/>
  <c r="G39" i="5"/>
  <c r="I57" i="5"/>
  <c r="G63" i="5"/>
  <c r="I68" i="5"/>
  <c r="I74" i="5"/>
  <c r="G79" i="5"/>
  <c r="I90" i="5"/>
  <c r="G96" i="5"/>
  <c r="I124" i="5"/>
  <c r="I129" i="5"/>
  <c r="G135" i="5"/>
  <c r="I140" i="5"/>
  <c r="I146" i="5"/>
  <c r="G151" i="5"/>
  <c r="I162" i="5"/>
  <c r="G168" i="5"/>
  <c r="I196" i="5"/>
  <c r="I201" i="5"/>
  <c r="G207" i="5"/>
  <c r="I212" i="5"/>
  <c r="I218" i="5"/>
  <c r="G223" i="5"/>
  <c r="I228" i="5"/>
  <c r="G235" i="5"/>
  <c r="I69" i="5"/>
  <c r="I174" i="5"/>
  <c r="I236" i="5"/>
  <c r="G236" i="5"/>
  <c r="I233" i="5"/>
  <c r="I20" i="5"/>
  <c r="I32" i="5"/>
  <c r="I41" i="5"/>
  <c r="I14" i="5"/>
  <c r="G7" i="5"/>
  <c r="I11" i="5"/>
  <c r="G11" i="5"/>
  <c r="G19" i="5"/>
  <c r="I23" i="5"/>
  <c r="G23" i="5"/>
  <c r="G31" i="5"/>
  <c r="I35" i="5"/>
  <c r="G35" i="5"/>
  <c r="G43" i="5"/>
  <c r="I47" i="5"/>
  <c r="G47" i="5"/>
  <c r="I52" i="5"/>
  <c r="G74" i="5"/>
  <c r="I75" i="5"/>
  <c r="I79" i="5"/>
  <c r="I85" i="5"/>
  <c r="G85" i="5"/>
  <c r="I101" i="5"/>
  <c r="I107" i="5"/>
  <c r="G140" i="5"/>
  <c r="G146" i="5"/>
  <c r="I147" i="5"/>
  <c r="I151" i="5"/>
  <c r="I157" i="5"/>
  <c r="G157" i="5"/>
  <c r="I173" i="5"/>
  <c r="I179" i="5"/>
  <c r="G212" i="5"/>
  <c r="G218" i="5"/>
  <c r="I219" i="5"/>
  <c r="I223" i="5"/>
  <c r="I229" i="5"/>
  <c r="G229" i="5"/>
  <c r="I235" i="5"/>
  <c r="I58" i="5"/>
  <c r="I70" i="5"/>
  <c r="I82" i="5"/>
  <c r="I94" i="5"/>
  <c r="I106" i="5"/>
  <c r="I118" i="5"/>
  <c r="I130" i="5"/>
  <c r="I142" i="5"/>
  <c r="I154" i="5"/>
  <c r="I166" i="5"/>
  <c r="I178" i="5"/>
  <c r="I190" i="5"/>
  <c r="I202" i="5"/>
  <c r="I214" i="5"/>
  <c r="I226" i="5"/>
  <c r="I238" i="5"/>
  <c r="G241" i="5"/>
  <c r="G59" i="5"/>
  <c r="G71" i="5"/>
  <c r="G83" i="5"/>
  <c r="G95" i="5"/>
  <c r="G107" i="5"/>
  <c r="G119" i="5"/>
  <c r="G131" i="5"/>
  <c r="G143" i="5"/>
  <c r="G155" i="5"/>
  <c r="G167" i="5"/>
  <c r="G179" i="5"/>
  <c r="G191" i="5"/>
  <c r="G203" i="5"/>
  <c r="G215" i="5"/>
  <c r="G227" i="5"/>
  <c r="G239" i="5"/>
  <c r="G57" i="5"/>
  <c r="G69" i="5"/>
  <c r="G81" i="5"/>
  <c r="G93" i="5"/>
  <c r="G105" i="5"/>
  <c r="G117" i="5"/>
  <c r="G129" i="5"/>
  <c r="G141" i="5"/>
  <c r="G153" i="5"/>
  <c r="G165" i="5"/>
  <c r="G177" i="5"/>
  <c r="G189" i="5"/>
  <c r="G201" i="5"/>
  <c r="G213" i="5"/>
  <c r="G225" i="5"/>
  <c r="I234" i="5"/>
  <c r="G237" i="5"/>
  <c r="I104" i="4"/>
  <c r="G104" i="4"/>
  <c r="I108" i="4"/>
  <c r="I60" i="4"/>
  <c r="I155" i="4"/>
  <c r="I11" i="4"/>
  <c r="G11" i="4"/>
  <c r="I10" i="4"/>
  <c r="I16" i="4"/>
  <c r="I39" i="4"/>
  <c r="I83" i="4"/>
  <c r="G83" i="4"/>
  <c r="I82" i="4"/>
  <c r="I88" i="4"/>
  <c r="G12" i="4"/>
  <c r="I17" i="4"/>
  <c r="G17" i="4"/>
  <c r="G26" i="4"/>
  <c r="I25" i="4"/>
  <c r="G25" i="4"/>
  <c r="I26" i="4"/>
  <c r="G39" i="4"/>
  <c r="I53" i="4"/>
  <c r="G53" i="4"/>
  <c r="G62" i="4"/>
  <c r="I61" i="4"/>
  <c r="G61" i="4"/>
  <c r="I62" i="4"/>
  <c r="G84" i="4"/>
  <c r="I89" i="4"/>
  <c r="G89" i="4"/>
  <c r="G98" i="4"/>
  <c r="I97" i="4"/>
  <c r="G97" i="4"/>
  <c r="I98" i="4"/>
  <c r="I102" i="4"/>
  <c r="I138" i="4"/>
  <c r="I154" i="4"/>
  <c r="I9" i="4"/>
  <c r="I32" i="4"/>
  <c r="G32" i="4"/>
  <c r="I68" i="4"/>
  <c r="G68" i="4"/>
  <c r="G158" i="4"/>
  <c r="I157" i="4"/>
  <c r="G157" i="4"/>
  <c r="I158" i="4"/>
  <c r="I153" i="4"/>
  <c r="I164" i="4"/>
  <c r="G164" i="4"/>
  <c r="I96" i="4"/>
  <c r="I115" i="4"/>
  <c r="I130" i="4"/>
  <c r="I3" i="4"/>
  <c r="I47" i="4"/>
  <c r="G47" i="4"/>
  <c r="I46" i="4"/>
  <c r="I52" i="4"/>
  <c r="G4" i="4"/>
  <c r="I8" i="4"/>
  <c r="G8" i="4"/>
  <c r="I21" i="4"/>
  <c r="G40" i="4"/>
  <c r="I44" i="4"/>
  <c r="G44" i="4"/>
  <c r="I57" i="4"/>
  <c r="G76" i="4"/>
  <c r="I80" i="4"/>
  <c r="G80" i="4"/>
  <c r="I93" i="4"/>
  <c r="G112" i="4"/>
  <c r="G122" i="4"/>
  <c r="I121" i="4"/>
  <c r="G121" i="4"/>
  <c r="I122" i="4"/>
  <c r="I132" i="4"/>
  <c r="I150" i="4"/>
  <c r="I174" i="4"/>
  <c r="I75" i="4"/>
  <c r="I111" i="4"/>
  <c r="G115" i="4"/>
  <c r="I116" i="4"/>
  <c r="G116" i="4"/>
  <c r="I120" i="4"/>
  <c r="I142" i="4"/>
  <c r="I12" i="4"/>
  <c r="G31" i="4"/>
  <c r="I48" i="4"/>
  <c r="G67" i="4"/>
  <c r="I84" i="4"/>
  <c r="G103" i="4"/>
  <c r="G127" i="4"/>
  <c r="I128" i="4"/>
  <c r="G128" i="4"/>
  <c r="I144" i="4"/>
  <c r="I162" i="4"/>
  <c r="I27" i="4"/>
  <c r="I35" i="4"/>
  <c r="G35" i="4"/>
  <c r="I34" i="4"/>
  <c r="I40" i="4"/>
  <c r="I63" i="4"/>
  <c r="I76" i="4"/>
  <c r="I71" i="4"/>
  <c r="G71" i="4"/>
  <c r="I70" i="4"/>
  <c r="I99" i="4"/>
  <c r="I107" i="4"/>
  <c r="G107" i="4"/>
  <c r="I106" i="4"/>
  <c r="I112" i="4"/>
  <c r="I113" i="4"/>
  <c r="G113" i="4"/>
  <c r="I123" i="4"/>
  <c r="G134" i="4"/>
  <c r="I133" i="4"/>
  <c r="G133" i="4"/>
  <c r="I134" i="4"/>
  <c r="I129" i="4"/>
  <c r="G139" i="4"/>
  <c r="I140" i="4"/>
  <c r="G140" i="4"/>
  <c r="I151" i="4"/>
  <c r="I156" i="4"/>
  <c r="G163" i="4"/>
  <c r="G182" i="4"/>
  <c r="I179" i="4"/>
  <c r="I183" i="4"/>
  <c r="I178" i="4"/>
  <c r="G183" i="4"/>
  <c r="I180" i="4"/>
  <c r="I182" i="4"/>
  <c r="I5" i="4"/>
  <c r="G5" i="4"/>
  <c r="G14" i="4"/>
  <c r="I13" i="4"/>
  <c r="G13" i="4"/>
  <c r="I14" i="4"/>
  <c r="G27" i="4"/>
  <c r="I31" i="4"/>
  <c r="G36" i="4"/>
  <c r="I41" i="4"/>
  <c r="G41" i="4"/>
  <c r="G50" i="4"/>
  <c r="I49" i="4"/>
  <c r="G49" i="4"/>
  <c r="I50" i="4"/>
  <c r="G63" i="4"/>
  <c r="I67" i="4"/>
  <c r="G72" i="4"/>
  <c r="I77" i="4"/>
  <c r="G77" i="4"/>
  <c r="G86" i="4"/>
  <c r="I85" i="4"/>
  <c r="G85" i="4"/>
  <c r="I86" i="4"/>
  <c r="G99" i="4"/>
  <c r="I103" i="4"/>
  <c r="G108" i="4"/>
  <c r="G123" i="4"/>
  <c r="I135" i="4"/>
  <c r="G146" i="4"/>
  <c r="I145" i="4"/>
  <c r="G145" i="4"/>
  <c r="I146" i="4"/>
  <c r="I141" i="4"/>
  <c r="G151" i="4"/>
  <c r="I152" i="4"/>
  <c r="G152" i="4"/>
  <c r="I163" i="4"/>
  <c r="I176" i="4"/>
  <c r="G176" i="4"/>
  <c r="I4" i="4"/>
  <c r="I72" i="4"/>
  <c r="I159" i="4"/>
  <c r="I15" i="4"/>
  <c r="I23" i="4"/>
  <c r="G23" i="4"/>
  <c r="I22" i="4"/>
  <c r="I59" i="4"/>
  <c r="G59" i="4"/>
  <c r="I58" i="4"/>
  <c r="I64" i="4"/>
  <c r="I87" i="4"/>
  <c r="I95" i="4"/>
  <c r="G95" i="4"/>
  <c r="I94" i="4"/>
  <c r="I114" i="4"/>
  <c r="I124" i="4"/>
  <c r="G124" i="4"/>
  <c r="I125" i="4"/>
  <c r="G125" i="4"/>
  <c r="G159" i="4"/>
  <c r="I6" i="4"/>
  <c r="G15" i="4"/>
  <c r="I19" i="4"/>
  <c r="G24" i="4"/>
  <c r="I29" i="4"/>
  <c r="G29" i="4"/>
  <c r="G38" i="4"/>
  <c r="I37" i="4"/>
  <c r="G37" i="4"/>
  <c r="I38" i="4"/>
  <c r="I42" i="4"/>
  <c r="I55" i="4"/>
  <c r="G60" i="4"/>
  <c r="I65" i="4"/>
  <c r="G65" i="4"/>
  <c r="G74" i="4"/>
  <c r="I73" i="4"/>
  <c r="G73" i="4"/>
  <c r="I74" i="4"/>
  <c r="I78" i="4"/>
  <c r="G87" i="4"/>
  <c r="I91" i="4"/>
  <c r="G96" i="4"/>
  <c r="I101" i="4"/>
  <c r="G101" i="4"/>
  <c r="G110" i="4"/>
  <c r="I109" i="4"/>
  <c r="G109" i="4"/>
  <c r="I110" i="4"/>
  <c r="I119" i="4"/>
  <c r="I131" i="4"/>
  <c r="I136" i="4"/>
  <c r="I160" i="4"/>
  <c r="G171" i="4"/>
  <c r="I36" i="4"/>
  <c r="G147" i="4"/>
  <c r="G170" i="4"/>
  <c r="I167" i="4"/>
  <c r="G169" i="4"/>
  <c r="I166" i="4"/>
  <c r="I170" i="4"/>
  <c r="I28" i="4"/>
  <c r="I51" i="4"/>
  <c r="I100" i="4"/>
  <c r="I20" i="4"/>
  <c r="G20" i="4"/>
  <c r="I33" i="4"/>
  <c r="I56" i="4"/>
  <c r="G56" i="4"/>
  <c r="I69" i="4"/>
  <c r="I92" i="4"/>
  <c r="G92" i="4"/>
  <c r="I105" i="4"/>
  <c r="I143" i="4"/>
  <c r="I148" i="4"/>
  <c r="I172" i="4"/>
  <c r="G194" i="4"/>
  <c r="I191" i="4"/>
  <c r="I195" i="4"/>
  <c r="I190" i="4"/>
  <c r="G195" i="4"/>
  <c r="I192" i="4"/>
  <c r="I194" i="4"/>
  <c r="G137" i="4"/>
  <c r="G149" i="4"/>
  <c r="G161" i="4"/>
  <c r="G173" i="4"/>
  <c r="G185" i="4"/>
  <c r="G197" i="4"/>
  <c r="G202" i="4"/>
  <c r="G239" i="4"/>
  <c r="I137" i="4"/>
  <c r="I149" i="4"/>
  <c r="I161" i="4"/>
  <c r="I173" i="4"/>
  <c r="I185" i="4"/>
  <c r="G188" i="4"/>
  <c r="G200" i="4"/>
  <c r="I118" i="4"/>
  <c r="G205" i="4"/>
  <c r="G174" i="4"/>
  <c r="G186" i="4"/>
  <c r="G198" i="4"/>
  <c r="G131" i="4"/>
  <c r="G143" i="4"/>
  <c r="G155" i="4"/>
  <c r="G136" i="4"/>
  <c r="G148" i="4"/>
  <c r="I169" i="4"/>
  <c r="G172" i="4"/>
  <c r="I181" i="4"/>
  <c r="G184" i="4"/>
  <c r="I193" i="4"/>
  <c r="G196" i="4"/>
  <c r="G177" i="4"/>
  <c r="G189" i="4"/>
  <c r="G201" i="4"/>
  <c r="G241" i="4"/>
  <c r="H241" i="5" l="1" a="1"/>
  <c r="H241" i="5" s="1"/>
  <c r="H237" i="5" a="1"/>
  <c r="H237" i="5" s="1"/>
  <c r="H160" i="5" a="1"/>
  <c r="H160" i="5" s="1"/>
  <c r="H114" i="5" a="1"/>
  <c r="H114" i="5" s="1"/>
  <c r="H93" i="5" a="1"/>
  <c r="H93" i="5" s="1"/>
  <c r="H214" i="5" a="1"/>
  <c r="H214" i="5" s="1"/>
  <c r="H202" i="5" a="1"/>
  <c r="H202" i="5" s="1"/>
  <c r="H190" i="5" a="1"/>
  <c r="H190" i="5" s="1"/>
  <c r="H178" i="5" a="1"/>
  <c r="H178" i="5" s="1"/>
  <c r="H143" i="5" a="1"/>
  <c r="H143" i="5" s="1"/>
  <c r="H124" i="5" a="1"/>
  <c r="H124" i="5" s="1"/>
  <c r="H58" i="5" a="1"/>
  <c r="H58" i="5" s="1"/>
  <c r="H209" i="5" a="1"/>
  <c r="H209" i="5" s="1"/>
  <c r="H157" i="5" a="1"/>
  <c r="H157" i="5" s="1"/>
  <c r="H84" i="5" a="1"/>
  <c r="H84" i="5" s="1"/>
  <c r="H23" i="5" a="1"/>
  <c r="H23" i="5" s="1"/>
  <c r="H232" i="5" a="1"/>
  <c r="H232" i="5" s="1"/>
  <c r="H221" i="5" a="1"/>
  <c r="H221" i="5" s="1"/>
  <c r="H168" i="5" a="1"/>
  <c r="H168" i="5" s="1"/>
  <c r="H75" i="5" a="1"/>
  <c r="H75" i="5" s="1"/>
  <c r="H217" i="5" a="1"/>
  <c r="H217" i="5" s="1"/>
  <c r="H126" i="5" a="1"/>
  <c r="H126" i="5" s="1"/>
  <c r="H192" i="5" a="1"/>
  <c r="H192" i="5" s="1"/>
  <c r="H173" i="5" a="1"/>
  <c r="H173" i="5" s="1"/>
  <c r="H108" i="5" a="1"/>
  <c r="H108" i="5" s="1"/>
  <c r="H104" i="5" a="1"/>
  <c r="H104" i="5" s="1"/>
  <c r="H8" i="5" a="1"/>
  <c r="H8" i="5" s="1"/>
  <c r="H40" i="5" a="1"/>
  <c r="H40" i="5" s="1"/>
  <c r="H161" i="5" a="1"/>
  <c r="H161" i="5" s="1"/>
  <c r="H231" i="5" a="1"/>
  <c r="H231" i="5" s="1"/>
  <c r="H224" i="5" a="1"/>
  <c r="H224" i="5" s="1"/>
  <c r="H175" i="4" a="1"/>
  <c r="H175" i="4" s="1"/>
  <c r="H135" i="4" a="1"/>
  <c r="H135" i="4" s="1"/>
  <c r="H174" i="4" a="1"/>
  <c r="H174" i="4" s="1"/>
  <c r="H187" i="4" a="1"/>
  <c r="H187" i="4" s="1"/>
  <c r="H206" i="4" a="1"/>
  <c r="H206" i="4" s="1"/>
  <c r="H197" i="4" a="1"/>
  <c r="H197" i="4" s="1"/>
  <c r="H165" i="4" a="1"/>
  <c r="H165" i="4" s="1"/>
  <c r="H194" i="4" a="1"/>
  <c r="H194" i="4" s="1"/>
  <c r="H168" i="4" a="1"/>
  <c r="H168" i="4" s="1"/>
  <c r="H156" i="4" a="1"/>
  <c r="H156" i="4" s="1"/>
  <c r="H125" i="4" a="1"/>
  <c r="H125" i="4" s="1"/>
  <c r="H57" i="4" a="1"/>
  <c r="H57" i="4" s="1"/>
  <c r="H150" i="4" a="1"/>
  <c r="H150" i="4" s="1"/>
  <c r="H144" i="4" a="1"/>
  <c r="H144" i="4" s="1"/>
  <c r="H77" i="4" a="1"/>
  <c r="H77" i="4" s="1"/>
  <c r="H70" i="4" a="1"/>
  <c r="H70" i="4" s="1"/>
  <c r="H126" i="4" a="1"/>
  <c r="H126" i="4" s="1"/>
  <c r="H30" i="4" a="1"/>
  <c r="H30" i="4" s="1"/>
  <c r="H114" i="4" a="1"/>
  <c r="H114" i="4" s="1"/>
  <c r="H79" i="4" a="1"/>
  <c r="H79" i="4" s="1"/>
  <c r="H7" i="4" a="1"/>
  <c r="H7" i="4" s="1"/>
  <c r="H28" i="4" a="1"/>
  <c r="H28" i="4" s="1"/>
  <c r="H94" i="4" a="1"/>
  <c r="H94" i="4" s="1"/>
  <c r="H51" i="4" a="1"/>
  <c r="H51" i="4" s="1"/>
  <c r="H39" i="4" a="1"/>
  <c r="H39" i="4" s="1"/>
  <c r="H102" i="4" a="1"/>
  <c r="H102" i="4" s="1"/>
  <c r="H29" i="5" a="1"/>
  <c r="H29" i="5" s="1"/>
  <c r="H81" i="5" a="1"/>
  <c r="H81" i="5" s="1"/>
  <c r="H123" i="5" a="1"/>
  <c r="H123" i="5" s="1"/>
  <c r="H210" i="5" a="1"/>
  <c r="H210" i="5" s="1"/>
  <c r="H88" i="5" a="1"/>
  <c r="H88" i="5" s="1"/>
  <c r="H132" i="5" a="1"/>
  <c r="H132" i="5" s="1"/>
  <c r="H17" i="5" a="1"/>
  <c r="H17" i="5" s="1"/>
  <c r="H181" i="5" a="1"/>
  <c r="H181" i="5" s="1"/>
  <c r="H208" i="5" a="1"/>
  <c r="H208" i="5" s="1"/>
  <c r="H233" i="5" a="1"/>
  <c r="H233" i="5" s="1"/>
  <c r="H219" i="5" a="1"/>
  <c r="H219" i="5" s="1"/>
  <c r="H213" i="5" a="1"/>
  <c r="H213" i="5" s="1"/>
  <c r="H69" i="5" a="1"/>
  <c r="H69" i="5" s="1"/>
  <c r="H65" i="5" a="1"/>
  <c r="H65" i="5" s="1"/>
  <c r="H119" i="5" a="1"/>
  <c r="H119" i="5" s="1"/>
  <c r="H118" i="5" a="1"/>
  <c r="H118" i="5" s="1"/>
  <c r="H229" i="5" a="1"/>
  <c r="H229" i="5" s="1"/>
  <c r="H19" i="5" a="1"/>
  <c r="H19" i="5" s="1"/>
  <c r="H163" i="5" a="1"/>
  <c r="H163" i="5" s="1"/>
  <c r="H151" i="5" a="1"/>
  <c r="H151" i="5" s="1"/>
  <c r="H134" i="5" a="1"/>
  <c r="H134" i="5" s="1"/>
  <c r="H42" i="5" a="1"/>
  <c r="H42" i="5" s="1"/>
  <c r="H211" i="5" a="1"/>
  <c r="H211" i="5" s="1"/>
  <c r="H205" i="5" a="1"/>
  <c r="H205" i="5" s="1"/>
  <c r="H50" i="5" a="1"/>
  <c r="H50" i="5" s="1"/>
  <c r="H72" i="5" a="1"/>
  <c r="H72" i="5" s="1"/>
  <c r="H182" i="5" a="1"/>
  <c r="H182" i="5" s="1"/>
  <c r="H180" i="5" a="1"/>
  <c r="H180" i="5" s="1"/>
  <c r="H5" i="5" a="1"/>
  <c r="H5" i="5" s="1"/>
  <c r="H98" i="5" a="1"/>
  <c r="H98" i="5" s="1"/>
  <c r="H103" i="5" a="1"/>
  <c r="H103" i="5" s="1"/>
  <c r="H147" i="5" a="1"/>
  <c r="H147" i="5" s="1"/>
  <c r="H225" i="5" a="1"/>
  <c r="H225" i="5" s="1"/>
  <c r="H201" i="5" a="1"/>
  <c r="H201" i="5" s="1"/>
  <c r="H57" i="5" a="1"/>
  <c r="H57" i="5" s="1"/>
  <c r="H107" i="5" a="1"/>
  <c r="H107" i="5" s="1"/>
  <c r="H74" i="5" a="1"/>
  <c r="H74" i="5" s="1"/>
  <c r="H11" i="5" a="1"/>
  <c r="H11" i="5" s="1"/>
  <c r="H39" i="5" a="1"/>
  <c r="H39" i="5" s="1"/>
  <c r="H128" i="5" a="1"/>
  <c r="H128" i="5" s="1"/>
  <c r="H38" i="5" a="1"/>
  <c r="H38" i="5" s="1"/>
  <c r="H122" i="5" a="1"/>
  <c r="H122" i="5" s="1"/>
  <c r="H183" i="5" a="1"/>
  <c r="H183" i="5" s="1"/>
  <c r="H176" i="5" a="1"/>
  <c r="H176" i="5" s="1"/>
  <c r="H115" i="5" a="1"/>
  <c r="H115" i="5" s="1"/>
  <c r="H92" i="5" a="1"/>
  <c r="H92" i="5" s="1"/>
  <c r="H169" i="5" a="1"/>
  <c r="H169" i="5" s="1"/>
  <c r="H189" i="5" a="1"/>
  <c r="H189" i="5" s="1"/>
  <c r="H239" i="5" a="1"/>
  <c r="H239" i="5" s="1"/>
  <c r="H95" i="5" a="1"/>
  <c r="H95" i="5" s="1"/>
  <c r="H94" i="5" a="1"/>
  <c r="H94" i="5" s="1"/>
  <c r="H146" i="5" a="1"/>
  <c r="H146" i="5" s="1"/>
  <c r="H68" i="5" a="1"/>
  <c r="H68" i="5" s="1"/>
  <c r="H235" i="5" a="1"/>
  <c r="H235" i="5" s="1"/>
  <c r="H27" i="5" a="1"/>
  <c r="H27" i="5" s="1"/>
  <c r="H206" i="5" a="1"/>
  <c r="H206" i="5" s="1"/>
  <c r="H112" i="5" a="1"/>
  <c r="H112" i="5" s="1"/>
  <c r="H30" i="5" a="1"/>
  <c r="H30" i="5" s="1"/>
  <c r="H116" i="5" a="1"/>
  <c r="H116" i="5" s="1"/>
  <c r="H55" i="5" a="1"/>
  <c r="H55" i="5" s="1"/>
  <c r="H54" i="5" a="1"/>
  <c r="H54" i="5" s="1"/>
  <c r="H204" i="5" a="1"/>
  <c r="H204" i="5" s="1"/>
  <c r="H76" i="5" a="1"/>
  <c r="H76" i="5" s="1"/>
  <c r="H174" i="5" a="1"/>
  <c r="H174" i="5" s="1"/>
  <c r="H149" i="5" a="1"/>
  <c r="H149" i="5" s="1"/>
  <c r="H120" i="5" a="1"/>
  <c r="H120" i="5" s="1"/>
  <c r="H56" i="5" a="1"/>
  <c r="H56" i="5" s="1"/>
  <c r="H177" i="5" a="1"/>
  <c r="H177" i="5" s="1"/>
  <c r="H227" i="5" a="1"/>
  <c r="H227" i="5" s="1"/>
  <c r="H83" i="5" a="1"/>
  <c r="H83" i="5" s="1"/>
  <c r="H82" i="5" a="1"/>
  <c r="H82" i="5" s="1"/>
  <c r="H140" i="5" a="1"/>
  <c r="H140" i="5" s="1"/>
  <c r="H7" i="5" a="1"/>
  <c r="H7" i="5" s="1"/>
  <c r="H135" i="5" a="1"/>
  <c r="H135" i="5" s="1"/>
  <c r="H15" i="5" a="1"/>
  <c r="H15" i="5" s="1"/>
  <c r="H200" i="5" a="1"/>
  <c r="H200" i="5" s="1"/>
  <c r="H26" i="5" a="1"/>
  <c r="H26" i="5" s="1"/>
  <c r="H194" i="5" a="1"/>
  <c r="H194" i="5" s="1"/>
  <c r="H100" i="5" a="1"/>
  <c r="H100" i="5" s="1"/>
  <c r="H170" i="5" a="1"/>
  <c r="H170" i="5" s="1"/>
  <c r="H87" i="5" a="1"/>
  <c r="H87" i="5" s="1"/>
  <c r="H130" i="5" a="1"/>
  <c r="H130" i="5" s="1"/>
  <c r="H185" i="5" a="1"/>
  <c r="H185" i="5" s="1"/>
  <c r="H63" i="5" a="1"/>
  <c r="H63" i="5" s="1"/>
  <c r="H165" i="5" a="1"/>
  <c r="H165" i="5" s="1"/>
  <c r="H215" i="5" a="1"/>
  <c r="H215" i="5" s="1"/>
  <c r="H71" i="5" a="1"/>
  <c r="H71" i="5" s="1"/>
  <c r="H70" i="5" a="1"/>
  <c r="H70" i="5" s="1"/>
  <c r="H218" i="5" a="1"/>
  <c r="H218" i="5" s="1"/>
  <c r="H47" i="5" a="1"/>
  <c r="H47" i="5" s="1"/>
  <c r="H223" i="5" a="1"/>
  <c r="H223" i="5" s="1"/>
  <c r="H3" i="5" a="1"/>
  <c r="H3" i="5" s="1"/>
  <c r="H184" i="5" a="1"/>
  <c r="H184" i="5" s="1"/>
  <c r="H18" i="5" a="1"/>
  <c r="H18" i="5" s="1"/>
  <c r="H102" i="5" a="1"/>
  <c r="H102" i="5" s="1"/>
  <c r="H188" i="5" a="1"/>
  <c r="H188" i="5" s="1"/>
  <c r="H89" i="5" a="1"/>
  <c r="H89" i="5" s="1"/>
  <c r="H144" i="5" a="1"/>
  <c r="H144" i="5" s="1"/>
  <c r="H16" i="5" a="1"/>
  <c r="H16" i="5" s="1"/>
  <c r="H45" i="5" a="1"/>
  <c r="H45" i="5" s="1"/>
  <c r="H99" i="5" a="1"/>
  <c r="H99" i="5" s="1"/>
  <c r="H164" i="5" a="1"/>
  <c r="H164" i="5" s="1"/>
  <c r="H175" i="5" a="1"/>
  <c r="H175" i="5" s="1"/>
  <c r="H86" i="5" a="1"/>
  <c r="H86" i="5" s="1"/>
  <c r="H158" i="5" a="1"/>
  <c r="H158" i="5" s="1"/>
  <c r="H125" i="5" a="1"/>
  <c r="H125" i="5" s="1"/>
  <c r="H62" i="5" a="1"/>
  <c r="H62" i="5" s="1"/>
  <c r="H199" i="5" a="1"/>
  <c r="H199" i="5" s="1"/>
  <c r="H9" i="5" a="1"/>
  <c r="H9" i="5" s="1"/>
  <c r="H154" i="5" a="1"/>
  <c r="H154" i="5" s="1"/>
  <c r="H153" i="5" a="1"/>
  <c r="H153" i="5" s="1"/>
  <c r="H203" i="5" a="1"/>
  <c r="H203" i="5" s="1"/>
  <c r="H59" i="5" a="1"/>
  <c r="H59" i="5" s="1"/>
  <c r="H212" i="5" a="1"/>
  <c r="H212" i="5" s="1"/>
  <c r="H113" i="5" a="1"/>
  <c r="H113" i="5" s="1"/>
  <c r="H97" i="5" a="1"/>
  <c r="H97" i="5" s="1"/>
  <c r="H78" i="5" a="1"/>
  <c r="H78" i="5" s="1"/>
  <c r="H14" i="5" a="1"/>
  <c r="H14" i="5" s="1"/>
  <c r="H156" i="5" a="1"/>
  <c r="H156" i="5" s="1"/>
  <c r="H67" i="5" a="1"/>
  <c r="H67" i="5" s="1"/>
  <c r="H12" i="5" a="1"/>
  <c r="H12" i="5" s="1"/>
  <c r="H172" i="5" a="1"/>
  <c r="H172" i="5" s="1"/>
  <c r="H187" i="5" a="1"/>
  <c r="H187" i="5" s="1"/>
  <c r="H24" i="5" a="1"/>
  <c r="H24" i="5" s="1"/>
  <c r="H148" i="5" a="1"/>
  <c r="H148" i="5" s="1"/>
  <c r="H28" i="5" a="1"/>
  <c r="H28" i="5" s="1"/>
  <c r="H64" i="5" a="1"/>
  <c r="H64" i="5" s="1"/>
  <c r="H152" i="5" a="1"/>
  <c r="H152" i="5" s="1"/>
  <c r="H46" i="5" a="1"/>
  <c r="H46" i="5" s="1"/>
  <c r="H137" i="5" a="1"/>
  <c r="H137" i="5" s="1"/>
  <c r="H106" i="5" a="1"/>
  <c r="H106" i="5" s="1"/>
  <c r="H20" i="5" a="1"/>
  <c r="H20" i="5" s="1"/>
  <c r="H131" i="5" a="1"/>
  <c r="H131" i="5" s="1"/>
  <c r="H191" i="5" a="1"/>
  <c r="H191" i="5" s="1"/>
  <c r="H43" i="5" a="1"/>
  <c r="H43" i="5" s="1"/>
  <c r="H73" i="5" a="1"/>
  <c r="H73" i="5" s="1"/>
  <c r="H6" i="5" a="1"/>
  <c r="H6" i="5" s="1"/>
  <c r="H91" i="5" a="1"/>
  <c r="H91" i="5" s="1"/>
  <c r="H127" i="5" a="1"/>
  <c r="H127" i="5" s="1"/>
  <c r="H121" i="5" a="1"/>
  <c r="H121" i="5" s="1"/>
  <c r="H33" i="5" a="1"/>
  <c r="H33" i="5" s="1"/>
  <c r="H44" i="5" a="1"/>
  <c r="H44" i="5" s="1"/>
  <c r="H36" i="5" a="1"/>
  <c r="H36" i="5" s="1"/>
  <c r="H136" i="5" a="1"/>
  <c r="H136" i="5" s="1"/>
  <c r="H37" i="5" a="1"/>
  <c r="H37" i="5" s="1"/>
  <c r="H53" i="5" a="1"/>
  <c r="H53" i="5" s="1"/>
  <c r="H226" i="5" a="1"/>
  <c r="H226" i="5" s="1"/>
  <c r="H186" i="5" a="1"/>
  <c r="H186" i="5" s="1"/>
  <c r="H141" i="5" a="1"/>
  <c r="H141" i="5" s="1"/>
  <c r="H96" i="5" a="1"/>
  <c r="H96" i="5" s="1"/>
  <c r="H129" i="5" a="1"/>
  <c r="H129" i="5" s="1"/>
  <c r="H179" i="5" a="1"/>
  <c r="H179" i="5" s="1"/>
  <c r="H35" i="5" a="1"/>
  <c r="H35" i="5" s="1"/>
  <c r="H207" i="5" a="1"/>
  <c r="H207" i="5" s="1"/>
  <c r="H150" i="5" a="1"/>
  <c r="H150" i="5" s="1"/>
  <c r="H2" i="5" a="1"/>
  <c r="H2" i="5" s="1"/>
  <c r="H66" i="5" a="1"/>
  <c r="H66" i="5" s="1"/>
  <c r="H240" i="5" a="1"/>
  <c r="H240" i="5" s="1"/>
  <c r="H60" i="5" a="1"/>
  <c r="H60" i="5" s="1"/>
  <c r="H220" i="5" a="1"/>
  <c r="H220" i="5" s="1"/>
  <c r="H4" i="5" a="1"/>
  <c r="H4" i="5" s="1"/>
  <c r="H159" i="5" a="1"/>
  <c r="H159" i="5" s="1"/>
  <c r="H52" i="5" a="1"/>
  <c r="H52" i="5" s="1"/>
  <c r="H10" i="5" a="1"/>
  <c r="H10" i="5" s="1"/>
  <c r="H34" i="5" a="1"/>
  <c r="H34" i="5" s="1"/>
  <c r="H22" i="5" a="1"/>
  <c r="H22" i="5" s="1"/>
  <c r="H196" i="5" a="1"/>
  <c r="H196" i="5" s="1"/>
  <c r="H117" i="5" a="1"/>
  <c r="H117" i="5" s="1"/>
  <c r="H167" i="5" a="1"/>
  <c r="H167" i="5" s="1"/>
  <c r="H166" i="5" a="1"/>
  <c r="H166" i="5" s="1"/>
  <c r="H90" i="5" a="1"/>
  <c r="H90" i="5" s="1"/>
  <c r="H79" i="5" a="1"/>
  <c r="H79" i="5" s="1"/>
  <c r="H77" i="5" a="1"/>
  <c r="H77" i="5" s="1"/>
  <c r="H234" i="5" a="1"/>
  <c r="H234" i="5" s="1"/>
  <c r="H145" i="5" a="1"/>
  <c r="H145" i="5" s="1"/>
  <c r="H139" i="5" a="1"/>
  <c r="H139" i="5" s="1"/>
  <c r="H51" i="5" a="1"/>
  <c r="H51" i="5" s="1"/>
  <c r="H48" i="5" a="1"/>
  <c r="H48" i="5" s="1"/>
  <c r="H138" i="5" a="1"/>
  <c r="H138" i="5" s="1"/>
  <c r="H61" i="5" a="1"/>
  <c r="H61" i="5" s="1"/>
  <c r="H216" i="5" a="1"/>
  <c r="H216" i="5" s="1"/>
  <c r="H198" i="5" a="1"/>
  <c r="H198" i="5" s="1"/>
  <c r="H21" i="5" a="1"/>
  <c r="H21" i="5" s="1"/>
  <c r="H171" i="5" a="1"/>
  <c r="H171" i="5" s="1"/>
  <c r="H49" i="5" a="1"/>
  <c r="H49" i="5" s="1"/>
  <c r="H109" i="5" a="1"/>
  <c r="H109" i="5" s="1"/>
  <c r="H80" i="5" a="1"/>
  <c r="H80" i="5" s="1"/>
  <c r="H32" i="5" a="1"/>
  <c r="H32" i="5" s="1"/>
  <c r="H197" i="5" a="1"/>
  <c r="H197" i="5" s="1"/>
  <c r="H25" i="5" a="1"/>
  <c r="H25" i="5" s="1"/>
  <c r="H13" i="5" a="1"/>
  <c r="H13" i="5" s="1"/>
  <c r="H101" i="5" a="1"/>
  <c r="H101" i="5" s="1"/>
  <c r="H105" i="5" a="1"/>
  <c r="H105" i="5" s="1"/>
  <c r="H155" i="5" a="1"/>
  <c r="H155" i="5" s="1"/>
  <c r="H162" i="5" a="1"/>
  <c r="H162" i="5" s="1"/>
  <c r="H85" i="5" a="1"/>
  <c r="H85" i="5" s="1"/>
  <c r="H31" i="5" a="1"/>
  <c r="H31" i="5" s="1"/>
  <c r="H236" i="5" a="1"/>
  <c r="H236" i="5" s="1"/>
  <c r="H222" i="5" a="1"/>
  <c r="H222" i="5" s="1"/>
  <c r="H228" i="5" a="1"/>
  <c r="H228" i="5" s="1"/>
  <c r="H133" i="5" a="1"/>
  <c r="H133" i="5" s="1"/>
  <c r="H111" i="5" a="1"/>
  <c r="H111" i="5" s="1"/>
  <c r="H193" i="5" a="1"/>
  <c r="H193" i="5" s="1"/>
  <c r="H110" i="5" a="1"/>
  <c r="H110" i="5" s="1"/>
  <c r="H41" i="5" a="1"/>
  <c r="H41" i="5" s="1"/>
  <c r="H230" i="5" a="1"/>
  <c r="H230" i="5" s="1"/>
  <c r="H195" i="5" a="1"/>
  <c r="H195" i="5" s="1"/>
  <c r="H238" i="5" a="1"/>
  <c r="H238" i="5" s="1"/>
  <c r="H142" i="5" a="1"/>
  <c r="H142" i="5" s="1"/>
  <c r="H67" i="4" a="1"/>
  <c r="H67" i="4" s="1"/>
  <c r="H66" i="4" a="1"/>
  <c r="H66" i="4" s="1"/>
  <c r="H108" i="4" a="1"/>
  <c r="H108" i="4" s="1"/>
  <c r="H17" i="4" a="1"/>
  <c r="H17" i="4" s="1"/>
  <c r="H16" i="4" a="1"/>
  <c r="H16" i="4" s="1"/>
  <c r="H110" i="4" a="1"/>
  <c r="H110" i="4" s="1"/>
  <c r="H152" i="4" a="1"/>
  <c r="H152" i="4" s="1"/>
  <c r="H49" i="4" a="1"/>
  <c r="H49" i="4" s="1"/>
  <c r="H5" i="4" a="1"/>
  <c r="H5" i="4" s="1"/>
  <c r="H140" i="4" a="1"/>
  <c r="H140" i="4" s="1"/>
  <c r="H54" i="4" a="1"/>
  <c r="H54" i="4" s="1"/>
  <c r="H162" i="4" a="1"/>
  <c r="H162" i="4" s="1"/>
  <c r="H48" i="4" a="1"/>
  <c r="H48" i="4" s="1"/>
  <c r="H46" i="4" a="1"/>
  <c r="H46" i="4" s="1"/>
  <c r="H20" i="4" a="1"/>
  <c r="H20" i="4" s="1"/>
  <c r="H134" i="4" a="1"/>
  <c r="H134" i="4" s="1"/>
  <c r="H137" i="4" a="1"/>
  <c r="H137" i="4" s="1"/>
  <c r="H155" i="4" a="1"/>
  <c r="H155" i="4" s="1"/>
  <c r="H92" i="4" a="1"/>
  <c r="H92" i="4" s="1"/>
  <c r="H69" i="4" a="1"/>
  <c r="H69" i="4" s="1"/>
  <c r="H101" i="4" a="1"/>
  <c r="H101" i="4" s="1"/>
  <c r="H60" i="4" a="1"/>
  <c r="H60" i="4" s="1"/>
  <c r="H95" i="4" a="1"/>
  <c r="H95" i="4" s="1"/>
  <c r="H99" i="4" a="1"/>
  <c r="H99" i="4" s="1"/>
  <c r="H107" i="4" a="1"/>
  <c r="H107" i="4" s="1"/>
  <c r="H45" i="4" a="1"/>
  <c r="H45" i="4" s="1"/>
  <c r="H116" i="4" a="1"/>
  <c r="H116" i="4" s="1"/>
  <c r="H76" i="4" a="1"/>
  <c r="H76" i="4" s="1"/>
  <c r="H61" i="4" a="1"/>
  <c r="H61" i="4" s="1"/>
  <c r="H12" i="4" a="1"/>
  <c r="H12" i="4" s="1"/>
  <c r="H91" i="4" a="1"/>
  <c r="H91" i="4" s="1"/>
  <c r="H104" i="4" a="1"/>
  <c r="H104" i="4" s="1"/>
  <c r="H205" i="4" a="1"/>
  <c r="H205" i="4" s="1"/>
  <c r="H204" i="4" a="1"/>
  <c r="H204" i="4" s="1"/>
  <c r="H146" i="4" a="1"/>
  <c r="H146" i="4" s="1"/>
  <c r="H147" i="4" a="1"/>
  <c r="H147" i="4" s="1"/>
  <c r="H23" i="4" a="1"/>
  <c r="H23" i="4" s="1"/>
  <c r="H167" i="4" a="1"/>
  <c r="H167" i="4" s="1"/>
  <c r="H136" i="4" a="1"/>
  <c r="H136" i="4" s="1"/>
  <c r="H201" i="4" a="1"/>
  <c r="H201" i="4" s="1"/>
  <c r="H143" i="4" a="1"/>
  <c r="H143" i="4" s="1"/>
  <c r="H195" i="4" a="1"/>
  <c r="H195" i="4" s="1"/>
  <c r="H141" i="4" a="1"/>
  <c r="H141" i="4" s="1"/>
  <c r="H6" i="4" a="1"/>
  <c r="H6" i="4" s="1"/>
  <c r="H151" i="4" a="1"/>
  <c r="H151" i="4" s="1"/>
  <c r="H50" i="4" a="1"/>
  <c r="H50" i="4" s="1"/>
  <c r="H139" i="4" a="1"/>
  <c r="H139" i="4" s="1"/>
  <c r="H128" i="4" a="1"/>
  <c r="H128" i="4" s="1"/>
  <c r="H47" i="4" a="1"/>
  <c r="H47" i="4" s="1"/>
  <c r="H157" i="4" a="1"/>
  <c r="H157" i="4" s="1"/>
  <c r="H138" i="4" a="1"/>
  <c r="H138" i="4" s="1"/>
  <c r="H22" i="4" a="1"/>
  <c r="H22" i="4" s="1"/>
  <c r="H19" i="4" a="1"/>
  <c r="H19" i="4" s="1"/>
  <c r="H122" i="4" a="1"/>
  <c r="H122" i="4" s="1"/>
  <c r="H105" i="4" a="1"/>
  <c r="H105" i="4" s="1"/>
  <c r="H11" i="4" a="1"/>
  <c r="H11" i="4" s="1"/>
  <c r="H15" i="4" a="1"/>
  <c r="H15" i="4" s="1"/>
  <c r="H189" i="4" a="1"/>
  <c r="H189" i="4" s="1"/>
  <c r="H131" i="4" a="1"/>
  <c r="H131" i="4" s="1"/>
  <c r="H42" i="4" a="1"/>
  <c r="H42" i="4" s="1"/>
  <c r="H96" i="4" a="1"/>
  <c r="H96" i="4" s="1"/>
  <c r="H85" i="4" a="1"/>
  <c r="H85" i="4" s="1"/>
  <c r="H41" i="4" a="1"/>
  <c r="H41" i="4" s="1"/>
  <c r="H115" i="4" a="1"/>
  <c r="H115" i="4" s="1"/>
  <c r="H44" i="4" a="1"/>
  <c r="H44" i="4" s="1"/>
  <c r="H62" i="4" a="1"/>
  <c r="H62" i="4" s="1"/>
  <c r="H10" i="4" a="1"/>
  <c r="H10" i="4" s="1"/>
  <c r="H142" i="4" a="1"/>
  <c r="H142" i="4" s="1"/>
  <c r="H97" i="4" a="1"/>
  <c r="H97" i="4" s="1"/>
  <c r="H185" i="4" a="1"/>
  <c r="H185" i="4" s="1"/>
  <c r="H59" i="4" a="1"/>
  <c r="H59" i="4" s="1"/>
  <c r="H18" i="4" a="1"/>
  <c r="H18" i="4" s="1"/>
  <c r="H75" i="4" a="1"/>
  <c r="H75" i="4" s="1"/>
  <c r="H148" i="4" a="1"/>
  <c r="H148" i="4" s="1"/>
  <c r="H65" i="4" a="1"/>
  <c r="H65" i="4" s="1"/>
  <c r="H84" i="4" a="1"/>
  <c r="H84" i="4" s="1"/>
  <c r="H177" i="4" a="1"/>
  <c r="H177" i="4" s="1"/>
  <c r="H198" i="4" a="1"/>
  <c r="H198" i="4" s="1"/>
  <c r="H56" i="4" a="1"/>
  <c r="H56" i="4" s="1"/>
  <c r="H171" i="4" a="1"/>
  <c r="H171" i="4" s="1"/>
  <c r="H193" i="4" a="1"/>
  <c r="H193" i="4" s="1"/>
  <c r="H78" i="4" a="1"/>
  <c r="H78" i="4" s="1"/>
  <c r="H153" i="4" a="1"/>
  <c r="H153" i="4" s="1"/>
  <c r="H183" i="4" a="1"/>
  <c r="H183" i="4" s="1"/>
  <c r="H90" i="4" a="1"/>
  <c r="H90" i="4" s="1"/>
  <c r="H35" i="4" a="1"/>
  <c r="H35" i="4" s="1"/>
  <c r="H127" i="4" a="1"/>
  <c r="H127" i="4" s="1"/>
  <c r="H158" i="4" a="1"/>
  <c r="H158" i="4" s="1"/>
  <c r="H53" i="4" a="1"/>
  <c r="H53" i="4" s="1"/>
  <c r="H52" i="4" a="1"/>
  <c r="H52" i="4" s="1"/>
  <c r="H184" i="4" a="1"/>
  <c r="H184" i="4" s="1"/>
  <c r="H38" i="4" a="1"/>
  <c r="H38" i="4" s="1"/>
  <c r="H71" i="4" a="1"/>
  <c r="H71" i="4" s="1"/>
  <c r="H120" i="4" a="1"/>
  <c r="H120" i="4" s="1"/>
  <c r="H14" i="4" a="1"/>
  <c r="H14" i="4" s="1"/>
  <c r="H80" i="4" a="1"/>
  <c r="H80" i="4" s="1"/>
  <c r="H106" i="4" a="1"/>
  <c r="H106" i="4" s="1"/>
  <c r="H196" i="4" a="1"/>
  <c r="H196" i="4" s="1"/>
  <c r="H186" i="4" a="1"/>
  <c r="H186" i="4" s="1"/>
  <c r="H202" i="4" a="1"/>
  <c r="H202" i="4" s="1"/>
  <c r="H192" i="4" a="1"/>
  <c r="H192" i="4" s="1"/>
  <c r="H87" i="4" a="1"/>
  <c r="H87" i="4" s="1"/>
  <c r="H37" i="4" a="1"/>
  <c r="H37" i="4" s="1"/>
  <c r="H159" i="4" a="1"/>
  <c r="H159" i="4" s="1"/>
  <c r="H119" i="4" a="1"/>
  <c r="H119" i="4" s="1"/>
  <c r="H145" i="4" a="1"/>
  <c r="H145" i="4" s="1"/>
  <c r="H86" i="4" a="1"/>
  <c r="H86" i="4" s="1"/>
  <c r="H36" i="4" a="1"/>
  <c r="H36" i="4" s="1"/>
  <c r="H133" i="4" a="1"/>
  <c r="H133" i="4" s="1"/>
  <c r="H81" i="4" a="1"/>
  <c r="H81" i="4" s="1"/>
  <c r="H103" i="4" a="1"/>
  <c r="H103" i="4" s="1"/>
  <c r="H93" i="4" a="1"/>
  <c r="H93" i="4" s="1"/>
  <c r="H121" i="4" a="1"/>
  <c r="H121" i="4" s="1"/>
  <c r="H118" i="4" a="1"/>
  <c r="H118" i="4" s="1"/>
  <c r="H40" i="4" a="1"/>
  <c r="H40" i="4" s="1"/>
  <c r="H68" i="4" a="1"/>
  <c r="H68" i="4" s="1"/>
  <c r="H83" i="4" a="1"/>
  <c r="H83" i="4" s="1"/>
  <c r="H154" i="4" a="1"/>
  <c r="H154" i="4" s="1"/>
  <c r="H34" i="4" a="1"/>
  <c r="H34" i="4" s="1"/>
  <c r="H166" i="4" a="1"/>
  <c r="H166" i="4" s="1"/>
  <c r="H160" i="4" a="1"/>
  <c r="H160" i="4" s="1"/>
  <c r="H27" i="4" a="1"/>
  <c r="H27" i="4" s="1"/>
  <c r="H8" i="4" a="1"/>
  <c r="H8" i="4" s="1"/>
  <c r="H73" i="4" a="1"/>
  <c r="H73" i="4" s="1"/>
  <c r="H29" i="4" a="1"/>
  <c r="H29" i="4" s="1"/>
  <c r="H72" i="4" a="1"/>
  <c r="H72" i="4" s="1"/>
  <c r="H117" i="4" a="1"/>
  <c r="H117" i="4" s="1"/>
  <c r="H98" i="4" a="1"/>
  <c r="H98" i="4" s="1"/>
  <c r="H25" i="4" a="1"/>
  <c r="H25" i="4" s="1"/>
  <c r="H100" i="4" a="1"/>
  <c r="H100" i="4" s="1"/>
  <c r="H64" i="4" a="1"/>
  <c r="H64" i="4" s="1"/>
  <c r="H55" i="4" a="1"/>
  <c r="H55" i="4" s="1"/>
  <c r="H172" i="4" a="1"/>
  <c r="H172" i="4" s="1"/>
  <c r="H200" i="4" a="1"/>
  <c r="H200" i="4" s="1"/>
  <c r="H161" i="4" a="1"/>
  <c r="H161" i="4" s="1"/>
  <c r="H203" i="4" a="1"/>
  <c r="H203" i="4" s="1"/>
  <c r="H33" i="4" a="1"/>
  <c r="H33" i="4" s="1"/>
  <c r="H176" i="4" a="1"/>
  <c r="H176" i="4" s="1"/>
  <c r="H129" i="4" a="1"/>
  <c r="H129" i="4" s="1"/>
  <c r="H13" i="4" a="1"/>
  <c r="H13" i="4" s="1"/>
  <c r="H163" i="4" a="1"/>
  <c r="H163" i="4" s="1"/>
  <c r="H113" i="4" a="1"/>
  <c r="H113" i="4" s="1"/>
  <c r="H191" i="4" a="1"/>
  <c r="H191" i="4" s="1"/>
  <c r="H31" i="4" a="1"/>
  <c r="H31" i="4" s="1"/>
  <c r="H190" i="4" a="1"/>
  <c r="H190" i="4" s="1"/>
  <c r="H112" i="4" a="1"/>
  <c r="H112" i="4" s="1"/>
  <c r="H4" i="4" a="1"/>
  <c r="H4" i="4" s="1"/>
  <c r="H89" i="4" a="1"/>
  <c r="H89" i="4" s="1"/>
  <c r="H88" i="4" a="1"/>
  <c r="H88" i="4" s="1"/>
  <c r="H3" i="4" a="1"/>
  <c r="H3" i="4" s="1"/>
  <c r="H130" i="4" a="1"/>
  <c r="H130" i="4" s="1"/>
  <c r="H82" i="4" a="1"/>
  <c r="H82" i="4" s="1"/>
  <c r="H179" i="4" a="1"/>
  <c r="H179" i="4" s="1"/>
  <c r="H32" i="4" a="1"/>
  <c r="H32" i="4" s="1"/>
  <c r="H173" i="4" a="1"/>
  <c r="H173" i="4" s="1"/>
  <c r="H169" i="4" a="1"/>
  <c r="H169" i="4" s="1"/>
  <c r="H124" i="4" a="1"/>
  <c r="H124" i="4" s="1"/>
  <c r="H182" i="4" a="1"/>
  <c r="H182" i="4" s="1"/>
  <c r="H9" i="4" a="1"/>
  <c r="H9" i="4" s="1"/>
  <c r="H21" i="4" a="1"/>
  <c r="H21" i="4" s="1"/>
  <c r="H188" i="4" a="1"/>
  <c r="H188" i="4" s="1"/>
  <c r="H149" i="4" a="1"/>
  <c r="H149" i="4" s="1"/>
  <c r="H178" i="4" a="1"/>
  <c r="H178" i="4" s="1"/>
  <c r="H170" i="4" a="1"/>
  <c r="H170" i="4" s="1"/>
  <c r="H109" i="4" a="1"/>
  <c r="H109" i="4" s="1"/>
  <c r="H74" i="4" a="1"/>
  <c r="H74" i="4" s="1"/>
  <c r="H24" i="4" a="1"/>
  <c r="H24" i="4" s="1"/>
  <c r="H123" i="4" a="1"/>
  <c r="H123" i="4" s="1"/>
  <c r="H63" i="4" a="1"/>
  <c r="H63" i="4" s="1"/>
  <c r="H199" i="4" a="1"/>
  <c r="H199" i="4" s="1"/>
  <c r="H181" i="4" a="1"/>
  <c r="H181" i="4" s="1"/>
  <c r="H132" i="4" a="1"/>
  <c r="H132" i="4" s="1"/>
  <c r="H164" i="4" a="1"/>
  <c r="H164" i="4" s="1"/>
  <c r="H180" i="4" a="1"/>
  <c r="H180" i="4" s="1"/>
  <c r="H26" i="4" a="1"/>
  <c r="H26" i="4" s="1"/>
  <c r="H58" i="4" a="1"/>
  <c r="H58" i="4" s="1"/>
  <c r="H43" i="4" a="1"/>
  <c r="H43" i="4" s="1"/>
  <c r="H111" i="4" a="1"/>
  <c r="H111" i="4" s="1"/>
  <c r="H3" i="1"/>
  <c r="H4" i="1"/>
  <c r="H5" i="1"/>
  <c r="H6" i="1"/>
  <c r="L6" i="1" s="1"/>
  <c r="H7" i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4" i="1"/>
  <c r="L14" i="1" s="1"/>
  <c r="H15" i="1"/>
  <c r="H16" i="1"/>
  <c r="H17" i="1"/>
  <c r="H18" i="1"/>
  <c r="L18" i="1" s="1"/>
  <c r="H19" i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H28" i="1"/>
  <c r="H29" i="1"/>
  <c r="H30" i="1"/>
  <c r="L30" i="1" s="1"/>
  <c r="H31" i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H40" i="1"/>
  <c r="H41" i="1"/>
  <c r="H42" i="1"/>
  <c r="L42" i="1" s="1"/>
  <c r="H43" i="1"/>
  <c r="H44" i="1"/>
  <c r="L44" i="1" s="1"/>
  <c r="H45" i="1"/>
  <c r="L45" i="1" s="1"/>
  <c r="H46" i="1"/>
  <c r="L46" i="1" s="1"/>
  <c r="H47" i="1"/>
  <c r="L47" i="1" s="1"/>
  <c r="H48" i="1"/>
  <c r="L48" i="1" s="1"/>
  <c r="H49" i="1"/>
  <c r="L49" i="1" s="1"/>
  <c r="H50" i="1"/>
  <c r="L50" i="1" s="1"/>
  <c r="H51" i="1"/>
  <c r="H52" i="1"/>
  <c r="H53" i="1"/>
  <c r="H54" i="1"/>
  <c r="L54" i="1" s="1"/>
  <c r="H55" i="1"/>
  <c r="H56" i="1"/>
  <c r="L56" i="1" s="1"/>
  <c r="H57" i="1"/>
  <c r="L57" i="1" s="1"/>
  <c r="H58" i="1"/>
  <c r="L58" i="1" s="1"/>
  <c r="H59" i="1"/>
  <c r="L59" i="1" s="1"/>
  <c r="H60" i="1"/>
  <c r="L60" i="1" s="1"/>
  <c r="H61" i="1"/>
  <c r="L61" i="1" s="1"/>
  <c r="H62" i="1"/>
  <c r="L62" i="1" s="1"/>
  <c r="H63" i="1"/>
  <c r="H64" i="1"/>
  <c r="H65" i="1"/>
  <c r="H66" i="1"/>
  <c r="L66" i="1" s="1"/>
  <c r="H67" i="1"/>
  <c r="H68" i="1"/>
  <c r="L68" i="1" s="1"/>
  <c r="H69" i="1"/>
  <c r="L69" i="1" s="1"/>
  <c r="H70" i="1"/>
  <c r="L70" i="1" s="1"/>
  <c r="H71" i="1"/>
  <c r="L71" i="1" s="1"/>
  <c r="H72" i="1"/>
  <c r="L72" i="1" s="1"/>
  <c r="H73" i="1"/>
  <c r="L73" i="1" s="1"/>
  <c r="H74" i="1"/>
  <c r="L74" i="1" s="1"/>
  <c r="H75" i="1"/>
  <c r="H76" i="1"/>
  <c r="H77" i="1"/>
  <c r="H78" i="1"/>
  <c r="L78" i="1" s="1"/>
  <c r="H79" i="1"/>
  <c r="H80" i="1"/>
  <c r="L80" i="1" s="1"/>
  <c r="H81" i="1"/>
  <c r="L81" i="1" s="1"/>
  <c r="H82" i="1"/>
  <c r="L82" i="1" s="1"/>
  <c r="H83" i="1"/>
  <c r="L83" i="1" s="1"/>
  <c r="H84" i="1"/>
  <c r="L84" i="1" s="1"/>
  <c r="H85" i="1"/>
  <c r="L85" i="1" s="1"/>
  <c r="H86" i="1"/>
  <c r="L86" i="1" s="1"/>
  <c r="H87" i="1"/>
  <c r="H88" i="1"/>
  <c r="H89" i="1"/>
  <c r="H90" i="1"/>
  <c r="L90" i="1" s="1"/>
  <c r="H91" i="1"/>
  <c r="H92" i="1"/>
  <c r="L92" i="1" s="1"/>
  <c r="H93" i="1"/>
  <c r="L93" i="1" s="1"/>
  <c r="H94" i="1"/>
  <c r="L94" i="1" s="1"/>
  <c r="H95" i="1"/>
  <c r="L95" i="1" s="1"/>
  <c r="H96" i="1"/>
  <c r="L96" i="1" s="1"/>
  <c r="H97" i="1"/>
  <c r="L97" i="1" s="1"/>
  <c r="H98" i="1"/>
  <c r="L98" i="1" s="1"/>
  <c r="H99" i="1"/>
  <c r="H100" i="1"/>
  <c r="H101" i="1"/>
  <c r="H102" i="1"/>
  <c r="L102" i="1" s="1"/>
  <c r="H103" i="1"/>
  <c r="H104" i="1"/>
  <c r="L104" i="1" s="1"/>
  <c r="H105" i="1"/>
  <c r="L105" i="1" s="1"/>
  <c r="H106" i="1"/>
  <c r="L106" i="1" s="1"/>
  <c r="H107" i="1"/>
  <c r="L107" i="1" s="1"/>
  <c r="H108" i="1"/>
  <c r="L108" i="1" s="1"/>
  <c r="H109" i="1"/>
  <c r="L109" i="1" s="1"/>
  <c r="H110" i="1"/>
  <c r="L110" i="1" s="1"/>
  <c r="H111" i="1"/>
  <c r="H112" i="1"/>
  <c r="H113" i="1"/>
  <c r="H114" i="1"/>
  <c r="L114" i="1" s="1"/>
  <c r="H115" i="1"/>
  <c r="H116" i="1"/>
  <c r="L116" i="1" s="1"/>
  <c r="H117" i="1"/>
  <c r="L117" i="1" s="1"/>
  <c r="H118" i="1"/>
  <c r="L118" i="1" s="1"/>
  <c r="H119" i="1"/>
  <c r="L119" i="1" s="1"/>
  <c r="H120" i="1"/>
  <c r="L120" i="1" s="1"/>
  <c r="H121" i="1"/>
  <c r="L121" i="1" s="1"/>
  <c r="H122" i="1"/>
  <c r="L122" i="1" s="1"/>
  <c r="H123" i="1"/>
  <c r="H124" i="1"/>
  <c r="H125" i="1"/>
  <c r="H126" i="1"/>
  <c r="L126" i="1" s="1"/>
  <c r="H127" i="1"/>
  <c r="H128" i="1"/>
  <c r="L128" i="1" s="1"/>
  <c r="H129" i="1"/>
  <c r="L129" i="1" s="1"/>
  <c r="H130" i="1"/>
  <c r="L130" i="1" s="1"/>
  <c r="H131" i="1"/>
  <c r="L131" i="1" s="1"/>
  <c r="H132" i="1"/>
  <c r="L132" i="1" s="1"/>
  <c r="H133" i="1"/>
  <c r="L133" i="1" s="1"/>
  <c r="H134" i="1"/>
  <c r="L134" i="1" s="1"/>
  <c r="H135" i="1"/>
  <c r="H136" i="1"/>
  <c r="H137" i="1"/>
  <c r="H138" i="1"/>
  <c r="L138" i="1" s="1"/>
  <c r="H139" i="1"/>
  <c r="H140" i="1"/>
  <c r="L140" i="1" s="1"/>
  <c r="H141" i="1"/>
  <c r="L141" i="1" s="1"/>
  <c r="H142" i="1"/>
  <c r="L142" i="1" s="1"/>
  <c r="H143" i="1"/>
  <c r="L143" i="1" s="1"/>
  <c r="H144" i="1"/>
  <c r="L144" i="1" s="1"/>
  <c r="H145" i="1"/>
  <c r="L145" i="1" s="1"/>
  <c r="H146" i="1"/>
  <c r="L146" i="1" s="1"/>
  <c r="H147" i="1"/>
  <c r="H148" i="1"/>
  <c r="H149" i="1"/>
  <c r="H150" i="1"/>
  <c r="L150" i="1" s="1"/>
  <c r="H151" i="1"/>
  <c r="H152" i="1"/>
  <c r="L152" i="1" s="1"/>
  <c r="H153" i="1"/>
  <c r="L153" i="1" s="1"/>
  <c r="H154" i="1"/>
  <c r="L154" i="1" s="1"/>
  <c r="H155" i="1"/>
  <c r="L155" i="1" s="1"/>
  <c r="H156" i="1"/>
  <c r="L156" i="1" s="1"/>
  <c r="H157" i="1"/>
  <c r="L157" i="1" s="1"/>
  <c r="H158" i="1"/>
  <c r="L158" i="1" s="1"/>
  <c r="H159" i="1"/>
  <c r="H160" i="1"/>
  <c r="H161" i="1"/>
  <c r="H162" i="1"/>
  <c r="L162" i="1" s="1"/>
  <c r="H163" i="1"/>
  <c r="H164" i="1"/>
  <c r="L164" i="1" s="1"/>
  <c r="H165" i="1"/>
  <c r="L165" i="1" s="1"/>
  <c r="H166" i="1"/>
  <c r="L166" i="1" s="1"/>
  <c r="H167" i="1"/>
  <c r="L167" i="1" s="1"/>
  <c r="H168" i="1"/>
  <c r="L168" i="1" s="1"/>
  <c r="H169" i="1"/>
  <c r="L169" i="1" s="1"/>
  <c r="H170" i="1"/>
  <c r="L170" i="1" s="1"/>
  <c r="H171" i="1"/>
  <c r="H172" i="1"/>
  <c r="H173" i="1"/>
  <c r="H174" i="1"/>
  <c r="L174" i="1" s="1"/>
  <c r="H175" i="1"/>
  <c r="H176" i="1"/>
  <c r="L176" i="1" s="1"/>
  <c r="H177" i="1"/>
  <c r="L177" i="1" s="1"/>
  <c r="H178" i="1"/>
  <c r="L178" i="1" s="1"/>
  <c r="H179" i="1"/>
  <c r="L179" i="1" s="1"/>
  <c r="H180" i="1"/>
  <c r="L180" i="1" s="1"/>
  <c r="H181" i="1"/>
  <c r="L181" i="1" s="1"/>
  <c r="H182" i="1"/>
  <c r="L182" i="1" s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" i="1"/>
  <c r="L175" i="1" l="1"/>
  <c r="L163" i="1"/>
  <c r="L151" i="1"/>
  <c r="L139" i="1"/>
  <c r="L127" i="1"/>
  <c r="L115" i="1"/>
  <c r="L103" i="1"/>
  <c r="L91" i="1"/>
  <c r="L79" i="1"/>
  <c r="L67" i="1"/>
  <c r="L55" i="1"/>
  <c r="L43" i="1"/>
  <c r="L31" i="1"/>
  <c r="L19" i="1"/>
  <c r="L7" i="1"/>
  <c r="L173" i="1"/>
  <c r="L161" i="1"/>
  <c r="L149" i="1"/>
  <c r="L137" i="1"/>
  <c r="L125" i="1"/>
  <c r="L113" i="1"/>
  <c r="L101" i="1"/>
  <c r="L89" i="1"/>
  <c r="L77" i="1"/>
  <c r="L65" i="1"/>
  <c r="L53" i="1"/>
  <c r="L41" i="1"/>
  <c r="L29" i="1"/>
  <c r="L17" i="1"/>
  <c r="L5" i="1"/>
  <c r="L172" i="1"/>
  <c r="L160" i="1"/>
  <c r="L148" i="1"/>
  <c r="L136" i="1"/>
  <c r="L124" i="1"/>
  <c r="L112" i="1"/>
  <c r="L100" i="1"/>
  <c r="L88" i="1"/>
  <c r="L76" i="1"/>
  <c r="L64" i="1"/>
  <c r="L52" i="1"/>
  <c r="L40" i="1"/>
  <c r="L28" i="1"/>
  <c r="L16" i="1"/>
  <c r="L4" i="1"/>
  <c r="L2" i="1"/>
  <c r="N2" i="1" s="1"/>
  <c r="L171" i="1"/>
  <c r="L159" i="1"/>
  <c r="L147" i="1"/>
  <c r="L135" i="1"/>
  <c r="L123" i="1"/>
  <c r="L111" i="1"/>
  <c r="L99" i="1"/>
  <c r="L87" i="1"/>
  <c r="L75" i="1"/>
  <c r="L63" i="1"/>
  <c r="L51" i="1"/>
  <c r="L39" i="1"/>
  <c r="L27" i="1"/>
  <c r="L15" i="1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<sst xmlns="http://schemas.openxmlformats.org/spreadsheetml/2006/main" count="272" uniqueCount="17">
  <si>
    <t>Index Name</t>
  </si>
  <si>
    <t>Nifty 500</t>
  </si>
  <si>
    <t>date</t>
  </si>
  <si>
    <t>pe</t>
  </si>
  <si>
    <t>P/B</t>
  </si>
  <si>
    <t>div_yield_pct</t>
  </si>
  <si>
    <t>tri</t>
  </si>
  <si>
    <t>eps</t>
  </si>
  <si>
    <t>NIFTY 500</t>
  </si>
  <si>
    <t>ROE</t>
  </si>
  <si>
    <t>M EPS Growth</t>
  </si>
  <si>
    <t xml:space="preserve">3Y EPS Growth </t>
  </si>
  <si>
    <t>10Y average EPS</t>
  </si>
  <si>
    <t>USD/INR</t>
  </si>
  <si>
    <t>PE 1M</t>
  </si>
  <si>
    <t>PE 5Y</t>
  </si>
  <si>
    <t>EPS 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</si>
</sst>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ptos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0" fontId="0" fillId="0" borderId="0" xfId="1" applyNumberFormat="1" applyFont="1"/>
    <xf numFmtId="10" fontId="2" fillId="3" borderId="1" xfId="1" applyNumberFormat="1" applyFont="1" applyFill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14" fontId="4" fillId="0" borderId="3" xfId="0" applyNumberFormat="1" applyFont="1" applyBorder="1"/>
    <xf numFmtId="43" fontId="4" fillId="0" borderId="3" xfId="2" applyFont="1" applyBorder="1"/>
    <xf numFmtId="0" fontId="0" fillId="0" borderId="3" xfId="0" applyBorder="1"/>
    <xf numFmtId="10" fontId="0" fillId="0" borderId="3" xfId="1" applyNumberFormat="1" applyFont="1" applyBorder="1"/>
    <xf numFmtId="2" fontId="0" fillId="0" borderId="3" xfId="1" applyNumberFormat="1" applyFont="1" applyBorder="1"/>
    <xf numFmtId="2" fontId="0" fillId="0" borderId="0" xfId="0" applyNumberFormat="1"/>
    <xf numFmtId="10" fontId="5" fillId="0" borderId="3" xfId="1" applyNumberFormat="1" applyFont="1" applyBorder="1"/>
    <xf numFmtId="14" fontId="4" fillId="0" borderId="0" xfId="0" applyNumberFormat="1" applyFont="1"/>
    <xf numFmtId="43" fontId="4" fillId="0" borderId="0" xfId="2" applyFont="1"/>
    <xf numFmtId="0" fontId="6" fillId="0" borderId="0" xfId="0" applyFont="1"/>
    <xf numFmtId="43" fontId="2" fillId="3" borderId="1" xfId="1" applyNumberFormat="1" applyFont="1" applyFill="1" applyBorder="1" applyAlignment="1">
      <alignment horizontal="center" vertical="center" wrapText="1"/>
    </xf>
    <xf numFmtId="10" fontId="2" fillId="0" borderId="0" xfId="1" applyNumberFormat="1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 500 TRI'!$T$1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500 TRI'!$S$2:$S$350</c:f>
              <c:numCache>
                <c:formatCode>m/d/yyyy</c:formatCode>
                <c:ptCount val="349"/>
              </c:numCache>
            </c:numRef>
          </c:cat>
          <c:val>
            <c:numRef>
              <c:f>'Nifty 500 TRI'!$T$2:$T$350</c:f>
              <c:numCache>
                <c:formatCode>0.00%</c:formatCode>
                <c:ptCount val="34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0-4052-8550-0BDF8C9D0D73}"/>
            </c:ext>
          </c:extLst>
        </c:ser>
        <c:ser>
          <c:idx val="1"/>
          <c:order val="1"/>
          <c:tx>
            <c:strRef>
              <c:f>'Nifty 500 TRI'!$U$1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'Nifty 500 TRI'!$S$2:$S$350</c:f>
              <c:numCache>
                <c:formatCode>m/d/yyyy</c:formatCode>
                <c:ptCount val="349"/>
              </c:numCache>
            </c:numRef>
          </c:cat>
          <c:val>
            <c:numRef>
              <c:f>'Nifty 500 TRI'!$U$2:$U$350</c:f>
              <c:numCache>
                <c:formatCode>0.00%</c:formatCode>
                <c:ptCount val="34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0-4052-8550-0BDF8C9D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176688"/>
        <c:axId val="858178128"/>
      </c:lineChart>
      <c:catAx>
        <c:axId val="858176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78128"/>
        <c:crosses val="autoZero"/>
        <c:auto val="1"/>
        <c:lblAlgn val="ctr"/>
        <c:lblOffset val="100"/>
        <c:noMultiLvlLbl val="1"/>
      </c:catAx>
      <c:valAx>
        <c:axId val="8581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7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 500 TRI'!$U$1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500 TRI'!$S$2:$S$350</c:f>
              <c:numCache>
                <c:formatCode>m/d/yyyy</c:formatCode>
                <c:ptCount val="349"/>
              </c:numCache>
            </c:numRef>
          </c:cat>
          <c:val>
            <c:numRef>
              <c:f>'Nifty 500 TRI'!$U$2:$U$350</c:f>
              <c:numCache>
                <c:formatCode>0.00%</c:formatCode>
                <c:ptCount val="34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3-449C-A863-3D36817E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22416"/>
        <c:axId val="923818576"/>
      </c:lineChart>
      <c:catAx>
        <c:axId val="923822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18576"/>
        <c:crosses val="autoZero"/>
        <c:auto val="1"/>
        <c:lblAlgn val="ctr"/>
        <c:lblOffset val="100"/>
        <c:noMultiLvlLbl val="1"/>
      </c:catAx>
      <c:valAx>
        <c:axId val="9238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2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152400</xdr:colOff>
      <xdr:row>1</xdr:row>
      <xdr:rowOff>114300</xdr:rowOff>
    </xdr:from>
    <xdr:to>
      <xdr:col>36</xdr:col>
      <xdr:colOff>281940</xdr:colOff>
      <xdr:row>33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D5A3D-E606-D42B-E0B6-32C9F871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449580</xdr:colOff>
      <xdr:row>34</xdr:row>
      <xdr:rowOff>91440</xdr:rowOff>
    </xdr:from>
    <xdr:to>
      <xdr:col>35</xdr:col>
      <xdr:colOff>579120</xdr:colOff>
      <xdr:row>50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729F5-DDA3-2270-B396-923C6BBBA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2"/>
  <sheetViews>
    <sheetView workbookViewId="0">
      <pane ySplit="1" topLeftCell="A2" activePane="bottomLeft" state="frozen"/>
      <selection activeCell="I1" sqref="I1"/>
      <selection pane="bottomLeft" activeCell="D65" sqref="D65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.5546875" style="10" bestFit="1" customWidth="1"/>
    <col min="4" max="4" width="6" bestFit="1" customWidth="1"/>
    <col min="5" max="5" width="5" bestFit="1" customWidth="1"/>
    <col min="6" max="6" width="11.6640625" customWidth="1"/>
    <col min="7" max="7" width="12.44140625" customWidth="1"/>
    <col min="8" max="8" width="12" bestFit="1" customWidth="1"/>
    <col min="9" max="10" width="14" customWidth="1"/>
    <col min="11" max="11" width="21.33203125" bestFit="1" customWidth="1"/>
    <col min="12" max="17" width="14" customWidth="1"/>
    <col min="18" max="18" width="42.88671875" customWidth="1"/>
    <col min="19" max="21" width="14" customWidth="1"/>
  </cols>
  <sheetData>
    <row r="1" spans="1:21" ht="26.4" x14ac:dyDescent="0.3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14</v>
      </c>
      <c r="K1" s="1" t="s">
        <v>15</v>
      </c>
      <c r="L1" s="1" t="s">
        <v>16</v>
      </c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2" t="s">
        <v>8</v>
      </c>
      <c r="B2" s="4">
        <v>23079.5</v>
      </c>
      <c r="C2" s="8">
        <v>46053</v>
      </c>
      <c r="D2" s="2">
        <v>23.48</v>
      </c>
      <c r="E2" s="3">
        <v>3.59</v>
      </c>
      <c r="F2" s="4">
        <v>1.17</v>
      </c>
      <c r="G2" s="3">
        <v>36853.919999999998</v>
      </c>
      <c r="H2" s="3">
        <f t="shared" ref="H2:H65" si="0">B2/D2</f>
        <v>982.94293015332198</v>
      </c>
      <c r="I2" s="27">
        <f t="shared" ref="I2:I65" si="1">G2/D2</f>
        <v>1569.5877342419078</v>
      </c>
      <c r="J2" s="12">
        <f>D2/D3-1</f>
        <v>-3.9672801635991739E-2</v>
      </c>
      <c r="K2" s="12" cm="1">
        <f t="array" ref="K2">PRODUCT(J2:J61+1)^(1/5)-1</f>
        <v>-0.10191794780581986</v>
      </c>
      <c r="L2" s="12">
        <f>(H2/H61)^(1/5)-1</f>
        <v>0.28041285856656195</v>
      </c>
      <c r="M2" s="12">
        <f>(I2/I61)^(1/5)-1</f>
        <v>0.29325380716968774</v>
      </c>
      <c r="N2" s="12">
        <f>(1+K2)*(1+L2)*(1+F2/100)-1</f>
        <v>0.16336982262709854</v>
      </c>
      <c r="O2" s="12">
        <f>(1+K2)*(1+M2)*(1+F2/100)-1</f>
        <v>0.17503697513875505</v>
      </c>
      <c r="P2" s="12">
        <f>(G2/G61)^(1/5)-1</f>
        <v>0.14772958610720632</v>
      </c>
      <c r="Q2" s="12"/>
      <c r="R2" s="12"/>
      <c r="S2" s="14"/>
      <c r="T2" s="12"/>
      <c r="U2" s="12"/>
    </row>
    <row r="3" spans="1:21" x14ac:dyDescent="0.3">
      <c r="A3" s="5" t="s">
        <v>8</v>
      </c>
      <c r="B3" s="7">
        <v>23871.55</v>
      </c>
      <c r="C3" s="9">
        <v>46022</v>
      </c>
      <c r="D3" s="5">
        <v>24.45</v>
      </c>
      <c r="E3" s="6">
        <v>3.71</v>
      </c>
      <c r="F3" s="7">
        <v>1.1499999999999999</v>
      </c>
      <c r="G3" s="6">
        <v>38101.06</v>
      </c>
      <c r="H3" s="6">
        <f t="shared" si="0"/>
        <v>976.34151329243355</v>
      </c>
      <c r="I3" s="27">
        <f t="shared" si="1"/>
        <v>1558.3255623721882</v>
      </c>
      <c r="J3" s="12">
        <f t="shared" ref="J3:J66" si="2">D3/D4-1</f>
        <v>0</v>
      </c>
      <c r="K3" s="12" cm="1">
        <f t="array" ref="K3">PRODUCT(J3:J62+1)^(1/5)-1</f>
        <v>-0.10838402176735462</v>
      </c>
      <c r="L3" s="12">
        <f t="shared" ref="L3:L34" si="3">(H3/H62)^(1/5)-1</f>
        <v>0.28265487968719039</v>
      </c>
      <c r="M3" s="13"/>
      <c r="N3" s="13"/>
      <c r="O3" s="28"/>
      <c r="Q3" s="13"/>
      <c r="R3" s="13"/>
      <c r="S3" s="14"/>
      <c r="T3" s="13"/>
      <c r="U3" s="13"/>
    </row>
    <row r="4" spans="1:21" x14ac:dyDescent="0.3">
      <c r="A4" s="2" t="s">
        <v>8</v>
      </c>
      <c r="B4" s="4">
        <v>23933.200000000001</v>
      </c>
      <c r="C4" s="8">
        <v>45989</v>
      </c>
      <c r="D4" s="2">
        <v>24.45</v>
      </c>
      <c r="E4" s="3">
        <v>3.71</v>
      </c>
      <c r="F4" s="4">
        <v>1.1499999999999999</v>
      </c>
      <c r="G4" s="3">
        <v>38199.35</v>
      </c>
      <c r="H4" s="3">
        <f t="shared" si="0"/>
        <v>978.86298568507164</v>
      </c>
      <c r="I4" s="27">
        <f t="shared" si="1"/>
        <v>1562.3456032719837</v>
      </c>
      <c r="J4" s="12">
        <f t="shared" si="2"/>
        <v>-1.3715207745058522E-2</v>
      </c>
      <c r="K4" s="12" cm="1">
        <f t="array" ref="K4">PRODUCT(J4:J63+1)^(1/5)-1</f>
        <v>-9.6364333577982797E-2</v>
      </c>
      <c r="L4" s="12">
        <f t="shared" si="3"/>
        <v>0.29820905555019905</v>
      </c>
      <c r="M4" s="12"/>
      <c r="N4" s="12"/>
      <c r="O4" s="12"/>
      <c r="P4" s="12"/>
      <c r="Q4" s="12"/>
      <c r="R4" s="12"/>
      <c r="S4" s="14"/>
      <c r="T4" s="12"/>
      <c r="U4" s="12"/>
    </row>
    <row r="5" spans="1:21" x14ac:dyDescent="0.3">
      <c r="A5" s="5" t="s">
        <v>8</v>
      </c>
      <c r="B5" s="7">
        <v>23710.400000000001</v>
      </c>
      <c r="C5" s="9">
        <v>45960</v>
      </c>
      <c r="D5" s="5">
        <v>24.79</v>
      </c>
      <c r="E5" s="6">
        <v>3.71</v>
      </c>
      <c r="F5" s="7">
        <v>1.1499999999999999</v>
      </c>
      <c r="G5" s="6">
        <v>37822.449999999997</v>
      </c>
      <c r="H5" s="6">
        <f t="shared" si="0"/>
        <v>956.4501815248085</v>
      </c>
      <c r="I5" s="27">
        <f t="shared" si="1"/>
        <v>1525.7139975796692</v>
      </c>
      <c r="J5" s="12">
        <f t="shared" si="2"/>
        <v>4.1596638655462037E-2</v>
      </c>
      <c r="K5" s="12" cm="1">
        <f t="array" ref="K5">PRODUCT(J5:J64+1)^(1/5)-1</f>
        <v>-7.6971819309257117E-2</v>
      </c>
      <c r="L5" s="12">
        <f t="shared" si="3"/>
        <v>0.29349162158056852</v>
      </c>
      <c r="M5" s="13"/>
      <c r="N5" s="13"/>
      <c r="O5" s="13"/>
      <c r="P5" s="13"/>
      <c r="Q5" s="13"/>
      <c r="R5" s="13"/>
      <c r="S5" s="14"/>
      <c r="T5" s="13"/>
      <c r="U5" s="13"/>
    </row>
    <row r="6" spans="1:21" x14ac:dyDescent="0.3">
      <c r="A6" s="2" t="s">
        <v>8</v>
      </c>
      <c r="B6" s="4">
        <v>22734.1</v>
      </c>
      <c r="C6" s="8">
        <v>45930</v>
      </c>
      <c r="D6" s="2">
        <v>23.8</v>
      </c>
      <c r="E6" s="3">
        <v>3.54</v>
      </c>
      <c r="F6" s="4">
        <v>1.19</v>
      </c>
      <c r="G6" s="3">
        <v>36240.26</v>
      </c>
      <c r="H6" s="3">
        <f t="shared" si="0"/>
        <v>955.21428571428567</v>
      </c>
      <c r="I6" s="27">
        <f t="shared" si="1"/>
        <v>1522.7</v>
      </c>
      <c r="J6" s="12">
        <f t="shared" si="2"/>
        <v>1.3197105151128152E-2</v>
      </c>
      <c r="K6" s="12" cm="1">
        <f t="array" ref="K6">PRODUCT(J6:J65+1)^(1/5)-1</f>
        <v>-0.10144218245549752</v>
      </c>
      <c r="L6" s="12">
        <f t="shared" si="3"/>
        <v>0.29829219439110743</v>
      </c>
      <c r="M6" s="12"/>
      <c r="N6" s="12"/>
      <c r="O6" s="12"/>
      <c r="P6" s="12"/>
      <c r="Q6" s="12"/>
      <c r="R6" s="12"/>
      <c r="S6" s="14"/>
      <c r="T6" s="12"/>
      <c r="U6" s="12"/>
    </row>
    <row r="7" spans="1:21" x14ac:dyDescent="0.3">
      <c r="A7" s="5" t="s">
        <v>8</v>
      </c>
      <c r="B7" s="7">
        <v>22462.95</v>
      </c>
      <c r="C7" s="9">
        <v>45898</v>
      </c>
      <c r="D7" s="5">
        <v>23.49</v>
      </c>
      <c r="E7" s="6">
        <v>3.5</v>
      </c>
      <c r="F7" s="7">
        <v>1.23</v>
      </c>
      <c r="G7" s="6">
        <v>35799.379999999997</v>
      </c>
      <c r="H7" s="6">
        <f t="shared" si="0"/>
        <v>956.27713920817382</v>
      </c>
      <c r="I7" s="27">
        <f t="shared" si="1"/>
        <v>1524.0263942103022</v>
      </c>
      <c r="J7" s="12">
        <f t="shared" si="2"/>
        <v>-3.2138442521631672E-2</v>
      </c>
      <c r="K7" s="12" cm="1">
        <f t="array" ref="K7">PRODUCT(J7:J66+1)^(1/5)-1</f>
        <v>-8.6268870648143148E-2</v>
      </c>
      <c r="L7" s="12">
        <f t="shared" si="3"/>
        <v>0.3298433045353697</v>
      </c>
      <c r="M7" s="13"/>
      <c r="N7" s="13"/>
      <c r="O7" s="13"/>
      <c r="P7" s="13"/>
      <c r="Q7" s="13"/>
      <c r="R7" s="13"/>
      <c r="S7" s="14"/>
      <c r="T7" s="13"/>
      <c r="U7" s="13"/>
    </row>
    <row r="8" spans="1:21" x14ac:dyDescent="0.3">
      <c r="A8" s="2" t="s">
        <v>8</v>
      </c>
      <c r="B8" s="4">
        <v>22914.95</v>
      </c>
      <c r="C8" s="8">
        <v>45869</v>
      </c>
      <c r="D8" s="2">
        <v>24.27</v>
      </c>
      <c r="E8" s="3">
        <v>3.69</v>
      </c>
      <c r="F8" s="4">
        <v>1.2</v>
      </c>
      <c r="G8" s="3">
        <v>36461.71</v>
      </c>
      <c r="H8" s="3">
        <f t="shared" si="0"/>
        <v>944.16769674495265</v>
      </c>
      <c r="I8" s="27">
        <f t="shared" si="1"/>
        <v>1502.3366295838484</v>
      </c>
      <c r="J8" s="12">
        <f t="shared" si="2"/>
        <v>-4.2225730071033918E-2</v>
      </c>
      <c r="K8" s="12" cm="1">
        <f t="array" ref="K8">PRODUCT(J8:J67+1)^(1/5)-1</f>
        <v>-5.9032170555497365E-2</v>
      </c>
      <c r="L8" s="12">
        <f t="shared" si="3"/>
        <v>0.30017284308908776</v>
      </c>
      <c r="M8" s="12"/>
      <c r="N8" s="12"/>
      <c r="O8" s="12"/>
      <c r="P8" s="12"/>
      <c r="Q8" s="12"/>
      <c r="R8" s="12"/>
      <c r="S8" s="14"/>
      <c r="T8" s="12"/>
      <c r="U8" s="12"/>
    </row>
    <row r="9" spans="1:21" x14ac:dyDescent="0.3">
      <c r="A9" s="5" t="s">
        <v>8</v>
      </c>
      <c r="B9" s="7">
        <v>23617.200000000001</v>
      </c>
      <c r="C9" s="9">
        <v>45838</v>
      </c>
      <c r="D9" s="5">
        <v>25.34</v>
      </c>
      <c r="E9" s="6">
        <v>4.01</v>
      </c>
      <c r="F9" s="7">
        <v>1.1000000000000001</v>
      </c>
      <c r="G9" s="6">
        <v>37522.379999999997</v>
      </c>
      <c r="H9" s="6">
        <f t="shared" si="0"/>
        <v>932.01262825572223</v>
      </c>
      <c r="I9" s="27">
        <f t="shared" si="1"/>
        <v>1480.756906077348</v>
      </c>
      <c r="J9" s="12">
        <f t="shared" si="2"/>
        <v>3.0500203334688836E-2</v>
      </c>
      <c r="K9" s="12" cm="1">
        <f t="array" ref="K9">PRODUCT(J9:J68+1)^(1/5)-1</f>
        <v>-2.8954229462712533E-2</v>
      </c>
      <c r="L9" s="12">
        <f t="shared" si="3"/>
        <v>0.2768230013334636</v>
      </c>
      <c r="M9" s="13"/>
      <c r="N9" s="13"/>
      <c r="O9" s="13"/>
      <c r="P9" s="13"/>
      <c r="Q9" s="13"/>
      <c r="R9" s="13"/>
      <c r="S9" s="14"/>
      <c r="T9" s="13"/>
      <c r="U9" s="13"/>
    </row>
    <row r="10" spans="1:21" x14ac:dyDescent="0.3">
      <c r="A10" s="2" t="s">
        <v>8</v>
      </c>
      <c r="B10" s="4">
        <v>22801.95</v>
      </c>
      <c r="C10" s="8">
        <v>45807</v>
      </c>
      <c r="D10" s="2">
        <v>24.59</v>
      </c>
      <c r="E10" s="3">
        <v>3.94</v>
      </c>
      <c r="F10" s="4">
        <v>1.1200000000000001</v>
      </c>
      <c r="G10" s="3">
        <v>36160.26</v>
      </c>
      <c r="H10" s="3">
        <f t="shared" si="0"/>
        <v>927.28548190321271</v>
      </c>
      <c r="I10" s="27">
        <f t="shared" si="1"/>
        <v>1470.5270435136235</v>
      </c>
      <c r="J10" s="12">
        <f t="shared" si="2"/>
        <v>2.0755500207555011E-2</v>
      </c>
      <c r="K10" s="12" cm="1">
        <f t="array" ref="K10">PRODUCT(J10:J69+1)^(1/5)-1</f>
        <v>-4.7308087833459744E-3</v>
      </c>
      <c r="L10" s="12">
        <f t="shared" si="3"/>
        <v>0.26281118997004027</v>
      </c>
      <c r="M10" s="12"/>
      <c r="N10" s="12"/>
      <c r="O10" s="12"/>
      <c r="P10" s="12"/>
      <c r="Q10" s="12"/>
      <c r="R10" s="12"/>
      <c r="S10" s="14"/>
      <c r="T10" s="12"/>
      <c r="U10" s="12"/>
    </row>
    <row r="11" spans="1:21" x14ac:dyDescent="0.3">
      <c r="A11" s="5" t="s">
        <v>8</v>
      </c>
      <c r="B11" s="7">
        <v>22030.05</v>
      </c>
      <c r="C11" s="9">
        <v>45777</v>
      </c>
      <c r="D11" s="5">
        <v>24.09</v>
      </c>
      <c r="E11" s="6">
        <v>3.84</v>
      </c>
      <c r="F11" s="7">
        <v>1.17</v>
      </c>
      <c r="G11" s="6">
        <v>34886.080000000002</v>
      </c>
      <c r="H11" s="6">
        <f t="shared" si="0"/>
        <v>914.48941469489409</v>
      </c>
      <c r="I11" s="27">
        <f t="shared" si="1"/>
        <v>1448.1560813615608</v>
      </c>
      <c r="J11" s="12">
        <f t="shared" si="2"/>
        <v>2.3364485981308469E-2</v>
      </c>
      <c r="K11" s="12" cm="1">
        <f t="array" ref="K11">PRODUCT(J11:J70+1)^(1/5)-1</f>
        <v>-7.9433030119544501E-3</v>
      </c>
      <c r="L11" s="12">
        <f t="shared" si="3"/>
        <v>0.24102027772810919</v>
      </c>
      <c r="M11" s="13"/>
      <c r="N11" s="13"/>
      <c r="O11" s="13"/>
      <c r="P11" s="13"/>
      <c r="Q11" s="13"/>
      <c r="R11" s="13"/>
      <c r="S11" s="14"/>
      <c r="T11" s="13"/>
      <c r="U11" s="13"/>
    </row>
    <row r="12" spans="1:21" x14ac:dyDescent="0.3">
      <c r="A12" s="2" t="s">
        <v>8</v>
      </c>
      <c r="B12" s="4">
        <v>21339.55</v>
      </c>
      <c r="C12" s="8">
        <v>45744</v>
      </c>
      <c r="D12" s="2">
        <v>23.54</v>
      </c>
      <c r="E12" s="3">
        <v>3.73</v>
      </c>
      <c r="F12" s="4">
        <v>1.21</v>
      </c>
      <c r="G12" s="3">
        <v>33787.56</v>
      </c>
      <c r="H12" s="3">
        <f t="shared" si="0"/>
        <v>906.52293967714525</v>
      </c>
      <c r="I12" s="27">
        <f t="shared" si="1"/>
        <v>1435.3254035683942</v>
      </c>
      <c r="J12" s="12">
        <f t="shared" si="2"/>
        <v>7.7838827838827784E-2</v>
      </c>
      <c r="K12" s="12" cm="1">
        <f t="array" ref="K12">PRODUCT(J12:J71+1)^(1/5)-1</f>
        <v>1.5476770062537115E-2</v>
      </c>
      <c r="L12" s="12">
        <f t="shared" si="3"/>
        <v>0.23182405839200304</v>
      </c>
      <c r="M12" s="12"/>
      <c r="N12" s="12"/>
      <c r="O12" s="12"/>
      <c r="P12" s="12"/>
      <c r="Q12" s="12"/>
      <c r="R12" s="12"/>
      <c r="S12" s="14"/>
      <c r="T12" s="12"/>
      <c r="U12" s="12"/>
    </row>
    <row r="13" spans="1:21" x14ac:dyDescent="0.3">
      <c r="A13" s="5" t="s">
        <v>8</v>
      </c>
      <c r="B13" s="7">
        <v>19880.900000000001</v>
      </c>
      <c r="C13" s="9">
        <v>45716</v>
      </c>
      <c r="D13" s="5">
        <v>21.84</v>
      </c>
      <c r="E13" s="6">
        <v>3.44</v>
      </c>
      <c r="F13" s="7">
        <v>1.3</v>
      </c>
      <c r="G13" s="6">
        <v>31473.37</v>
      </c>
      <c r="H13" s="6">
        <f t="shared" si="0"/>
        <v>910.29761904761915</v>
      </c>
      <c r="I13" s="27">
        <f t="shared" si="1"/>
        <v>1441.0883699633698</v>
      </c>
      <c r="J13" s="12">
        <f t="shared" si="2"/>
        <v>-0.10012360939431397</v>
      </c>
      <c r="K13" s="12" cm="1">
        <f t="array" ref="K13">PRODUCT(J13:J72+1)^(1/5)-1</f>
        <v>-5.5587948404518861E-2</v>
      </c>
      <c r="L13" s="12">
        <f t="shared" si="3"/>
        <v>0.23182413461562779</v>
      </c>
      <c r="M13" s="13"/>
      <c r="N13" s="13"/>
      <c r="O13" s="13"/>
      <c r="P13" s="13"/>
      <c r="Q13" s="13"/>
      <c r="R13" s="13"/>
      <c r="S13" s="14"/>
      <c r="T13" s="13"/>
      <c r="U13" s="13"/>
    </row>
    <row r="14" spans="1:21" x14ac:dyDescent="0.3">
      <c r="A14" s="2" t="s">
        <v>8</v>
      </c>
      <c r="B14" s="4">
        <v>21580.9</v>
      </c>
      <c r="C14" s="8">
        <v>45688</v>
      </c>
      <c r="D14" s="2">
        <v>24.27</v>
      </c>
      <c r="E14" s="3">
        <v>3.74</v>
      </c>
      <c r="F14" s="4">
        <v>1.22</v>
      </c>
      <c r="G14" s="3">
        <v>34130.93</v>
      </c>
      <c r="H14" s="3">
        <f t="shared" si="0"/>
        <v>889.20065925010306</v>
      </c>
      <c r="I14" s="27">
        <f t="shared" si="1"/>
        <v>1406.3011948908118</v>
      </c>
      <c r="J14" s="12">
        <f t="shared" si="2"/>
        <v>-5.0469483568075124E-2</v>
      </c>
      <c r="K14" s="12" cm="1">
        <f t="array" ref="K14">PRODUCT(J14:J73+1)^(1/5)-1</f>
        <v>-4.156921217230769E-2</v>
      </c>
      <c r="L14" s="12">
        <f t="shared" si="3"/>
        <v>0.22854680406422956</v>
      </c>
      <c r="M14" s="12"/>
      <c r="N14" s="12"/>
      <c r="O14" s="12"/>
      <c r="P14" s="12"/>
      <c r="Q14" s="12"/>
      <c r="R14" s="12"/>
      <c r="S14" s="14"/>
      <c r="T14" s="12"/>
      <c r="U14" s="12"/>
    </row>
    <row r="15" spans="1:21" x14ac:dyDescent="0.3">
      <c r="A15" s="5" t="s">
        <v>8</v>
      </c>
      <c r="B15" s="7">
        <v>22375.4</v>
      </c>
      <c r="C15" s="9">
        <v>45657</v>
      </c>
      <c r="D15" s="5">
        <v>25.56</v>
      </c>
      <c r="E15" s="6">
        <v>3.88</v>
      </c>
      <c r="F15" s="7">
        <v>1.1200000000000001</v>
      </c>
      <c r="G15" s="6">
        <v>35357.9</v>
      </c>
      <c r="H15" s="6">
        <f t="shared" si="0"/>
        <v>875.40688575899856</v>
      </c>
      <c r="I15" s="27">
        <f t="shared" si="1"/>
        <v>1383.3294209702663</v>
      </c>
      <c r="J15" s="12">
        <f t="shared" si="2"/>
        <v>-8.1490104772992122E-3</v>
      </c>
      <c r="K15" s="12" cm="1">
        <f t="array" ref="K15">PRODUCT(J15:J74+1)^(1/5)-1</f>
        <v>-3.6860274601311804E-2</v>
      </c>
      <c r="L15" s="12">
        <f t="shared" si="3"/>
        <v>0.21648577632863852</v>
      </c>
      <c r="M15" s="13"/>
      <c r="N15" s="13"/>
      <c r="O15" s="13"/>
      <c r="P15" s="13"/>
      <c r="Q15" s="13"/>
      <c r="R15" s="13"/>
      <c r="S15" s="14"/>
      <c r="T15" s="13"/>
      <c r="U15" s="13"/>
    </row>
    <row r="16" spans="1:21" x14ac:dyDescent="0.3">
      <c r="A16" s="2" t="s">
        <v>8</v>
      </c>
      <c r="B16" s="4">
        <v>22687</v>
      </c>
      <c r="C16" s="8">
        <v>45625</v>
      </c>
      <c r="D16" s="2">
        <v>25.77</v>
      </c>
      <c r="E16" s="3">
        <v>3.92</v>
      </c>
      <c r="F16" s="4">
        <v>1.1200000000000001</v>
      </c>
      <c r="G16" s="3">
        <v>35847.4</v>
      </c>
      <c r="H16" s="3">
        <f t="shared" si="0"/>
        <v>880.36476523088868</v>
      </c>
      <c r="I16" s="27">
        <f t="shared" si="1"/>
        <v>1391.0516103996897</v>
      </c>
      <c r="J16" s="12">
        <f t="shared" si="2"/>
        <v>-1.1507479861910253E-2</v>
      </c>
      <c r="K16" s="12" cm="1">
        <f t="array" ref="K16">PRODUCT(J16:J75+1)^(1/5)-1</f>
        <v>-2.8836765144124255E-2</v>
      </c>
      <c r="L16" s="12">
        <f t="shared" si="3"/>
        <v>0.22424837432072331</v>
      </c>
      <c r="M16" s="12"/>
      <c r="N16" s="12"/>
      <c r="O16" s="12"/>
      <c r="P16" s="12"/>
      <c r="Q16" s="12"/>
      <c r="R16" s="12"/>
      <c r="S16" s="14"/>
      <c r="T16" s="12"/>
      <c r="U16" s="12"/>
    </row>
    <row r="17" spans="1:21" x14ac:dyDescent="0.3">
      <c r="A17" s="5" t="s">
        <v>8</v>
      </c>
      <c r="B17" s="7">
        <v>22689.35</v>
      </c>
      <c r="C17" s="9">
        <v>45596</v>
      </c>
      <c r="D17" s="5">
        <v>26.07</v>
      </c>
      <c r="E17" s="6">
        <v>3.95</v>
      </c>
      <c r="F17" s="7">
        <v>1.1299999999999999</v>
      </c>
      <c r="G17" s="6">
        <v>35830.980000000003</v>
      </c>
      <c r="H17" s="6">
        <f t="shared" si="0"/>
        <v>870.32412734944376</v>
      </c>
      <c r="I17" s="27">
        <f t="shared" si="1"/>
        <v>1374.4142692750288</v>
      </c>
      <c r="J17" s="12">
        <f t="shared" si="2"/>
        <v>-6.4585575888051694E-2</v>
      </c>
      <c r="K17" s="12" cm="1">
        <f t="array" ref="K17">PRODUCT(J17:J76+1)^(1/5)-1</f>
        <v>-2.2956293210913525E-2</v>
      </c>
      <c r="L17" s="12">
        <f t="shared" si="3"/>
        <v>0.21478869690727209</v>
      </c>
      <c r="M17" s="13"/>
      <c r="N17" s="13"/>
      <c r="O17" s="13"/>
      <c r="P17" s="13"/>
      <c r="Q17" s="13"/>
      <c r="R17" s="13"/>
      <c r="S17" s="14"/>
      <c r="T17" s="13"/>
      <c r="U17" s="13"/>
    </row>
    <row r="18" spans="1:21" x14ac:dyDescent="0.3">
      <c r="A18" s="2" t="s">
        <v>8</v>
      </c>
      <c r="B18" s="4">
        <v>24245.200000000001</v>
      </c>
      <c r="C18" s="8">
        <v>45565</v>
      </c>
      <c r="D18" s="2">
        <v>27.87</v>
      </c>
      <c r="E18" s="3">
        <v>4.22</v>
      </c>
      <c r="F18" s="4">
        <v>1.04</v>
      </c>
      <c r="G18" s="3">
        <v>38261.39</v>
      </c>
      <c r="H18" s="3">
        <f t="shared" si="0"/>
        <v>869.93900251166133</v>
      </c>
      <c r="I18" s="27">
        <f t="shared" si="1"/>
        <v>1372.8521707929672</v>
      </c>
      <c r="J18" s="12">
        <f t="shared" si="2"/>
        <v>2.5009194556822267E-2</v>
      </c>
      <c r="K18" s="12" cm="1">
        <f t="array" ref="K18">PRODUCT(J18:J77+1)^(1/5)-1</f>
        <v>-2.4929085159162145E-3</v>
      </c>
      <c r="L18" s="12">
        <f t="shared" si="3"/>
        <v>0.21325015898206634</v>
      </c>
      <c r="M18" s="12"/>
      <c r="N18" s="12"/>
      <c r="O18" s="12"/>
      <c r="P18" s="12"/>
      <c r="Q18" s="12"/>
      <c r="R18" s="12"/>
      <c r="S18" s="14"/>
      <c r="T18" s="12"/>
      <c r="U18" s="12"/>
    </row>
    <row r="19" spans="1:21" x14ac:dyDescent="0.3">
      <c r="A19" s="5" t="s">
        <v>8</v>
      </c>
      <c r="B19" s="7">
        <v>23734.55</v>
      </c>
      <c r="C19" s="9">
        <v>45534</v>
      </c>
      <c r="D19" s="5">
        <v>27.19</v>
      </c>
      <c r="E19" s="6">
        <v>4.5999999999999996</v>
      </c>
      <c r="F19" s="7">
        <v>1.05</v>
      </c>
      <c r="G19" s="6">
        <v>37449.919999999998</v>
      </c>
      <c r="H19" s="6">
        <f t="shared" si="0"/>
        <v>872.91467451268841</v>
      </c>
      <c r="I19" s="27">
        <f t="shared" si="1"/>
        <v>1377.3416697315188</v>
      </c>
      <c r="J19" s="12">
        <f t="shared" si="2"/>
        <v>3.3210332103321694E-3</v>
      </c>
      <c r="K19" s="12" cm="1">
        <f t="array" ref="K19">PRODUCT(J19:J78+1)^(1/5)-1</f>
        <v>-1.4095105825650767E-2</v>
      </c>
      <c r="L19" s="12">
        <f t="shared" si="3"/>
        <v>0.21402607936330709</v>
      </c>
      <c r="M19" s="13"/>
      <c r="N19" s="13"/>
      <c r="O19" s="13"/>
      <c r="P19" s="13"/>
      <c r="Q19" s="13"/>
      <c r="R19" s="13"/>
      <c r="S19" s="14"/>
      <c r="T19" s="13"/>
      <c r="U19" s="13"/>
    </row>
    <row r="20" spans="1:21" x14ac:dyDescent="0.3">
      <c r="A20" s="2" t="s">
        <v>8</v>
      </c>
      <c r="B20" s="4">
        <v>23530.799999999999</v>
      </c>
      <c r="C20" s="8">
        <v>45504</v>
      </c>
      <c r="D20" s="2">
        <v>27.1</v>
      </c>
      <c r="E20" s="3">
        <v>4.55</v>
      </c>
      <c r="F20" s="4">
        <v>1.02</v>
      </c>
      <c r="G20" s="3">
        <v>37066.080000000002</v>
      </c>
      <c r="H20" s="3">
        <f t="shared" si="0"/>
        <v>868.2952029520294</v>
      </c>
      <c r="I20" s="27">
        <f t="shared" si="1"/>
        <v>1367.7520295202953</v>
      </c>
      <c r="J20" s="12">
        <f t="shared" si="2"/>
        <v>3.3168128097598171E-2</v>
      </c>
      <c r="K20" s="12" cm="1">
        <f t="array" ref="K20">PRODUCT(J20:J79+1)^(1/5)-1</f>
        <v>-1.5153186465210466E-2</v>
      </c>
      <c r="L20" s="12">
        <f t="shared" si="3"/>
        <v>0.23069017307919104</v>
      </c>
      <c r="M20" s="12"/>
      <c r="N20" s="12"/>
      <c r="O20" s="12"/>
      <c r="P20" s="12"/>
      <c r="Q20" s="12"/>
      <c r="R20" s="12"/>
      <c r="S20" s="14"/>
      <c r="T20" s="12"/>
      <c r="U20" s="12"/>
    </row>
    <row r="21" spans="1:21" x14ac:dyDescent="0.3">
      <c r="A21" s="5" t="s">
        <v>8</v>
      </c>
      <c r="B21" s="7">
        <v>22559.7</v>
      </c>
      <c r="C21" s="9">
        <v>45471</v>
      </c>
      <c r="D21" s="5">
        <v>26.23</v>
      </c>
      <c r="E21" s="6">
        <v>4.47</v>
      </c>
      <c r="F21" s="7">
        <v>1.06</v>
      </c>
      <c r="G21" s="6">
        <v>35506.97</v>
      </c>
      <c r="H21" s="6">
        <f t="shared" si="0"/>
        <v>860.07243614182232</v>
      </c>
      <c r="I21" s="27">
        <f t="shared" si="1"/>
        <v>1353.6778497903165</v>
      </c>
      <c r="J21" s="12">
        <f t="shared" si="2"/>
        <v>7.1486928104575131E-2</v>
      </c>
      <c r="K21" s="12" cm="1">
        <f t="array" ref="K21">PRODUCT(J21:J80+1)^(1/5)-1</f>
        <v>-3.2614735687629959E-2</v>
      </c>
      <c r="L21" s="12">
        <f t="shared" si="3"/>
        <v>0.2270180343106305</v>
      </c>
      <c r="M21" s="13"/>
      <c r="N21" s="13"/>
      <c r="O21" s="13"/>
      <c r="P21" s="13"/>
      <c r="Q21" s="13"/>
      <c r="R21" s="13"/>
      <c r="S21" s="14"/>
      <c r="T21" s="13"/>
      <c r="U21" s="13"/>
    </row>
    <row r="22" spans="1:21" x14ac:dyDescent="0.3">
      <c r="A22" s="2" t="s">
        <v>8</v>
      </c>
      <c r="B22" s="4">
        <v>21103.3</v>
      </c>
      <c r="C22" s="8">
        <v>45443</v>
      </c>
      <c r="D22" s="2">
        <v>24.48</v>
      </c>
      <c r="E22" s="3">
        <v>4.25</v>
      </c>
      <c r="F22" s="4">
        <v>1.08</v>
      </c>
      <c r="G22" s="3">
        <v>33168.199999999997</v>
      </c>
      <c r="H22" s="3">
        <f t="shared" si="0"/>
        <v>862.06290849673201</v>
      </c>
      <c r="I22" s="27">
        <f t="shared" si="1"/>
        <v>1354.9101307189542</v>
      </c>
      <c r="J22" s="12">
        <f t="shared" si="2"/>
        <v>-1.0109179134654256E-2</v>
      </c>
      <c r="K22" s="12" cm="1">
        <f t="array" ref="K22">PRODUCT(J22:J81+1)^(1/5)-1</f>
        <v>-5.0018850343318211E-2</v>
      </c>
      <c r="L22" s="12">
        <f t="shared" si="3"/>
        <v>0.22543700776259024</v>
      </c>
      <c r="M22" s="12"/>
      <c r="N22" s="12"/>
      <c r="O22" s="12"/>
      <c r="P22" s="12"/>
      <c r="Q22" s="12"/>
      <c r="R22" s="12"/>
      <c r="S22" s="14"/>
      <c r="T22" s="12"/>
      <c r="U22" s="12"/>
    </row>
    <row r="23" spans="1:21" x14ac:dyDescent="0.3">
      <c r="A23" s="5" t="s">
        <v>8</v>
      </c>
      <c r="B23" s="7">
        <v>20997.200000000001</v>
      </c>
      <c r="C23" s="9">
        <v>45412</v>
      </c>
      <c r="D23" s="5">
        <v>24.73</v>
      </c>
      <c r="E23" s="6">
        <v>4.21</v>
      </c>
      <c r="F23" s="7">
        <v>1.02</v>
      </c>
      <c r="G23" s="6">
        <v>32927.379999999997</v>
      </c>
      <c r="H23" s="6">
        <f t="shared" si="0"/>
        <v>849.05782450465028</v>
      </c>
      <c r="I23" s="27">
        <f t="shared" si="1"/>
        <v>1331.4751314193286</v>
      </c>
      <c r="J23" s="12">
        <f t="shared" si="2"/>
        <v>-4.0420371867411209E-4</v>
      </c>
      <c r="K23" s="12" cm="1">
        <f t="array" ref="K23">PRODUCT(J23:J82+1)^(1/5)-1</f>
        <v>-4.5538876847009857E-2</v>
      </c>
      <c r="L23" s="12">
        <f t="shared" si="3"/>
        <v>0.22333326746914772</v>
      </c>
      <c r="M23" s="13"/>
      <c r="N23" s="13"/>
      <c r="O23" s="13"/>
      <c r="P23" s="13"/>
      <c r="Q23" s="13"/>
      <c r="R23" s="13"/>
      <c r="S23" s="14"/>
      <c r="T23" s="13"/>
      <c r="U23" s="13"/>
    </row>
    <row r="24" spans="1:21" x14ac:dyDescent="0.3">
      <c r="A24" s="2" t="s">
        <v>8</v>
      </c>
      <c r="B24" s="4">
        <v>20255.150000000001</v>
      </c>
      <c r="C24" s="8">
        <v>45379</v>
      </c>
      <c r="D24" s="2">
        <v>24.74</v>
      </c>
      <c r="E24" s="3">
        <v>4.0599999999999996</v>
      </c>
      <c r="F24" s="4">
        <v>1.0900000000000001</v>
      </c>
      <c r="G24" s="3">
        <v>31763.25</v>
      </c>
      <c r="H24" s="3">
        <f t="shared" si="0"/>
        <v>818.72069523039625</v>
      </c>
      <c r="I24" s="27">
        <f t="shared" si="1"/>
        <v>1283.8823767178658</v>
      </c>
      <c r="J24" s="12">
        <f t="shared" si="2"/>
        <v>1.5182601559294184E-2</v>
      </c>
      <c r="K24" s="12" cm="1">
        <f t="array" ref="K24">PRODUCT(J24:J83+1)^(1/5)-1</f>
        <v>-4.5461698781542603E-2</v>
      </c>
      <c r="L24" s="12">
        <f t="shared" si="3"/>
        <v>0.21472970778353928</v>
      </c>
      <c r="M24" s="12"/>
      <c r="N24" s="12"/>
      <c r="O24" s="12"/>
      <c r="P24" s="12"/>
      <c r="Q24" s="12"/>
      <c r="R24" s="12"/>
      <c r="S24" s="14"/>
      <c r="T24" s="12"/>
      <c r="U24" s="12"/>
    </row>
    <row r="25" spans="1:21" x14ac:dyDescent="0.3">
      <c r="A25" s="5" t="s">
        <v>8</v>
      </c>
      <c r="B25" s="7">
        <v>20090.05</v>
      </c>
      <c r="C25" s="9">
        <v>45351</v>
      </c>
      <c r="D25" s="5">
        <v>24.37</v>
      </c>
      <c r="E25" s="6">
        <v>4.04</v>
      </c>
      <c r="F25" s="7">
        <v>1.1100000000000001</v>
      </c>
      <c r="G25" s="6">
        <v>31499.31</v>
      </c>
      <c r="H25" s="6">
        <f t="shared" si="0"/>
        <v>824.37628231432086</v>
      </c>
      <c r="I25" s="27">
        <f t="shared" si="1"/>
        <v>1292.5445219532212</v>
      </c>
      <c r="J25" s="12">
        <f t="shared" si="2"/>
        <v>7.024793388429762E-3</v>
      </c>
      <c r="K25" s="12" cm="1">
        <f t="array" ref="K25">PRODUCT(J25:J84+1)^(1/5)-1</f>
        <v>-3.5715151764289521E-2</v>
      </c>
      <c r="L25" s="12">
        <f t="shared" si="3"/>
        <v>0.21641842453790128</v>
      </c>
      <c r="M25" s="13"/>
      <c r="N25" s="13"/>
      <c r="O25" s="13"/>
      <c r="P25" s="13"/>
      <c r="Q25" s="13"/>
      <c r="R25" s="13"/>
      <c r="S25" s="14"/>
      <c r="T25" s="13"/>
      <c r="U25" s="13"/>
    </row>
    <row r="26" spans="1:21" x14ac:dyDescent="0.3">
      <c r="A26" s="2" t="s">
        <v>8</v>
      </c>
      <c r="B26" s="4">
        <v>19802.099999999999</v>
      </c>
      <c r="C26" s="8">
        <v>45322</v>
      </c>
      <c r="D26" s="2">
        <v>24.2</v>
      </c>
      <c r="E26" s="3">
        <v>3.98</v>
      </c>
      <c r="F26" s="4">
        <v>1.1100000000000001</v>
      </c>
      <c r="G26" s="3">
        <v>31011.17</v>
      </c>
      <c r="H26" s="3">
        <f t="shared" si="0"/>
        <v>818.26859504132233</v>
      </c>
      <c r="I26" s="27">
        <f t="shared" si="1"/>
        <v>1281.453305785124</v>
      </c>
      <c r="J26" s="12">
        <f t="shared" si="2"/>
        <v>-1.1437908496732097E-2</v>
      </c>
      <c r="K26" s="12" cm="1">
        <f t="array" ref="K26">PRODUCT(J26:J85+1)^(1/5)-1</f>
        <v>-3.6404027184644638E-2</v>
      </c>
      <c r="L26" s="12">
        <f t="shared" si="3"/>
        <v>0.21708975772784722</v>
      </c>
      <c r="M26" s="12"/>
      <c r="N26" s="12"/>
      <c r="O26" s="12"/>
      <c r="P26" s="12"/>
      <c r="Q26" s="12"/>
      <c r="R26" s="12"/>
      <c r="S26" s="14"/>
      <c r="T26" s="12"/>
      <c r="U26" s="12"/>
    </row>
    <row r="27" spans="1:21" x14ac:dyDescent="0.3">
      <c r="A27" s="5" t="s">
        <v>8</v>
      </c>
      <c r="B27" s="7">
        <v>19429.150000000001</v>
      </c>
      <c r="C27" s="9">
        <v>45289</v>
      </c>
      <c r="D27" s="5">
        <v>24.48</v>
      </c>
      <c r="E27" s="6">
        <v>3.91</v>
      </c>
      <c r="F27" s="7">
        <v>1.17</v>
      </c>
      <c r="G27" s="6">
        <v>30417.8</v>
      </c>
      <c r="H27" s="6">
        <f t="shared" si="0"/>
        <v>793.67442810457521</v>
      </c>
      <c r="I27" s="27">
        <f t="shared" si="1"/>
        <v>1242.5571895424837</v>
      </c>
      <c r="J27" s="12">
        <f t="shared" si="2"/>
        <v>7.9365079365079305E-2</v>
      </c>
      <c r="K27" s="12" cm="1">
        <f t="array" ref="K27">PRODUCT(J27:J86+1)^(1/5)-1</f>
        <v>-3.7336287999573892E-2</v>
      </c>
      <c r="L27" s="12">
        <f t="shared" si="3"/>
        <v>0.20756613238626742</v>
      </c>
      <c r="M27" s="13"/>
      <c r="N27" s="13"/>
      <c r="O27" s="13"/>
      <c r="P27" s="13"/>
      <c r="Q27" s="13"/>
      <c r="R27" s="13"/>
      <c r="S27" s="14"/>
      <c r="T27" s="13"/>
      <c r="U27" s="13"/>
    </row>
    <row r="28" spans="1:21" x14ac:dyDescent="0.3">
      <c r="A28" s="2" t="s">
        <v>8</v>
      </c>
      <c r="B28" s="4">
        <v>17987.95</v>
      </c>
      <c r="C28" s="8">
        <v>45260</v>
      </c>
      <c r="D28" s="2">
        <v>22.68</v>
      </c>
      <c r="E28" s="3">
        <v>3.62</v>
      </c>
      <c r="F28" s="4">
        <v>1.24</v>
      </c>
      <c r="G28" s="3">
        <v>28161.16</v>
      </c>
      <c r="H28" s="3">
        <f t="shared" si="0"/>
        <v>793.11948853615525</v>
      </c>
      <c r="I28" s="27">
        <f t="shared" si="1"/>
        <v>1241.6737213403881</v>
      </c>
      <c r="J28" s="12">
        <f t="shared" si="2"/>
        <v>4.1322314049586639E-2</v>
      </c>
      <c r="K28" s="12" cm="1">
        <f t="array" ref="K28">PRODUCT(J28:J87+1)^(1/5)-1</f>
        <v>-5.1928855546191865E-2</v>
      </c>
      <c r="L28" s="12">
        <f t="shared" si="3"/>
        <v>0.20692848874021719</v>
      </c>
      <c r="M28" s="12"/>
      <c r="N28" s="12"/>
      <c r="O28" s="12"/>
      <c r="P28" s="12"/>
      <c r="Q28" s="12"/>
      <c r="R28" s="12"/>
      <c r="S28" s="14"/>
      <c r="T28" s="12"/>
      <c r="U28" s="12"/>
    </row>
    <row r="29" spans="1:21" x14ac:dyDescent="0.3">
      <c r="A29" s="5" t="s">
        <v>8</v>
      </c>
      <c r="B29" s="7">
        <v>16801.099999999999</v>
      </c>
      <c r="C29" s="9">
        <v>45230</v>
      </c>
      <c r="D29" s="5">
        <v>21.78</v>
      </c>
      <c r="E29" s="6">
        <v>3.38</v>
      </c>
      <c r="F29" s="7">
        <v>1.31</v>
      </c>
      <c r="G29" s="6">
        <v>26281.759999999998</v>
      </c>
      <c r="H29" s="6">
        <f t="shared" si="0"/>
        <v>771.40036730945815</v>
      </c>
      <c r="I29" s="27">
        <f t="shared" si="1"/>
        <v>1206.6923783287418</v>
      </c>
      <c r="J29" s="12">
        <f t="shared" si="2"/>
        <v>-7.1215351812366712E-2</v>
      </c>
      <c r="K29" s="12" cm="1">
        <f t="array" ref="K29">PRODUCT(J29:J88+1)^(1/5)-1</f>
        <v>-5.4868718867648436E-2</v>
      </c>
      <c r="L29" s="12">
        <f t="shared" si="3"/>
        <v>0.20184394284628637</v>
      </c>
      <c r="M29" s="13"/>
      <c r="N29" s="13"/>
      <c r="O29" s="13"/>
      <c r="P29" s="13"/>
      <c r="Q29" s="13"/>
      <c r="R29" s="13"/>
      <c r="S29" s="14"/>
      <c r="T29" s="13"/>
      <c r="U29" s="13"/>
    </row>
    <row r="30" spans="1:21" x14ac:dyDescent="0.3">
      <c r="A30" s="2" t="s">
        <v>8</v>
      </c>
      <c r="B30" s="4">
        <v>17292.599999999999</v>
      </c>
      <c r="C30" s="8">
        <v>45198</v>
      </c>
      <c r="D30" s="2">
        <v>23.45</v>
      </c>
      <c r="E30" s="3">
        <v>3.48</v>
      </c>
      <c r="F30" s="4">
        <v>1.27</v>
      </c>
      <c r="G30" s="3">
        <v>27031.74</v>
      </c>
      <c r="H30" s="3">
        <f t="shared" si="0"/>
        <v>737.42430703624734</v>
      </c>
      <c r="I30" s="27">
        <f t="shared" si="1"/>
        <v>1152.7394456289981</v>
      </c>
      <c r="J30" s="12">
        <f t="shared" si="2"/>
        <v>1.6471608149111416E-2</v>
      </c>
      <c r="K30" s="12" cm="1">
        <f t="array" ref="K30">PRODUCT(J30:J89+1)^(1/5)-1</f>
        <v>-4.9398655184307083E-2</v>
      </c>
      <c r="L30" s="12">
        <f t="shared" si="3"/>
        <v>0.19461255973397784</v>
      </c>
      <c r="M30" s="12"/>
      <c r="N30" s="12"/>
      <c r="O30" s="12"/>
      <c r="P30" s="12"/>
      <c r="Q30" s="12"/>
      <c r="R30" s="12"/>
      <c r="S30" s="14"/>
      <c r="T30" s="12"/>
      <c r="U30" s="12"/>
    </row>
    <row r="31" spans="1:21" x14ac:dyDescent="0.3">
      <c r="A31" s="5" t="s">
        <v>8</v>
      </c>
      <c r="B31" s="7">
        <v>16924.3</v>
      </c>
      <c r="C31" s="9">
        <v>45169</v>
      </c>
      <c r="D31" s="5">
        <v>23.07</v>
      </c>
      <c r="E31" s="6">
        <v>4.22</v>
      </c>
      <c r="F31" s="7">
        <v>1.3</v>
      </c>
      <c r="G31" s="6">
        <v>26451.77</v>
      </c>
      <c r="H31" s="6">
        <f t="shared" si="0"/>
        <v>733.60641525791061</v>
      </c>
      <c r="I31" s="27">
        <f t="shared" si="1"/>
        <v>1146.5873428695274</v>
      </c>
      <c r="J31" s="12">
        <f t="shared" si="2"/>
        <v>-4.8267326732673199E-2</v>
      </c>
      <c r="K31" s="12" cm="1">
        <f t="array" ref="K31">PRODUCT(J31:J90+1)^(1/5)-1</f>
        <v>-7.733148749773977E-2</v>
      </c>
      <c r="L31" s="12">
        <f t="shared" si="3"/>
        <v>0.19443330860689367</v>
      </c>
      <c r="M31" s="13"/>
      <c r="N31" s="13"/>
      <c r="O31" s="13"/>
      <c r="P31" s="13"/>
      <c r="Q31" s="13"/>
      <c r="R31" s="13"/>
      <c r="S31" s="14"/>
      <c r="T31" s="13"/>
      <c r="U31" s="13"/>
    </row>
    <row r="32" spans="1:21" x14ac:dyDescent="0.3">
      <c r="A32" s="2" t="s">
        <v>8</v>
      </c>
      <c r="B32" s="4">
        <v>17059</v>
      </c>
      <c r="C32" s="8">
        <v>45138</v>
      </c>
      <c r="D32" s="2">
        <v>24.24</v>
      </c>
      <c r="E32" s="3">
        <v>4.5199999999999996</v>
      </c>
      <c r="F32" s="4">
        <v>1.25</v>
      </c>
      <c r="G32" s="3">
        <v>26612.52</v>
      </c>
      <c r="H32" s="3">
        <f t="shared" si="0"/>
        <v>703.75412541254127</v>
      </c>
      <c r="I32" s="27">
        <f t="shared" si="1"/>
        <v>1097.8762376237626</v>
      </c>
      <c r="J32" s="12">
        <f t="shared" si="2"/>
        <v>3.1050616758825811E-2</v>
      </c>
      <c r="K32" s="12" cm="1">
        <f t="array" ref="K32">PRODUCT(J32:J91+1)^(1/5)-1</f>
        <v>-6.316194808431852E-2</v>
      </c>
      <c r="L32" s="12">
        <f t="shared" si="3"/>
        <v>0.19431125400165894</v>
      </c>
      <c r="M32" s="12"/>
      <c r="N32" s="12"/>
      <c r="O32" s="12"/>
      <c r="P32" s="12"/>
      <c r="Q32" s="12"/>
      <c r="R32" s="12"/>
      <c r="S32" s="14"/>
      <c r="T32" s="12"/>
      <c r="U32" s="12"/>
    </row>
    <row r="33" spans="1:21" x14ac:dyDescent="0.3">
      <c r="A33" s="5" t="s">
        <v>8</v>
      </c>
      <c r="B33" s="7">
        <v>16430</v>
      </c>
      <c r="C33" s="9">
        <v>45107</v>
      </c>
      <c r="D33" s="5">
        <v>23.51</v>
      </c>
      <c r="E33" s="6">
        <v>4.29</v>
      </c>
      <c r="F33" s="7">
        <v>1.36</v>
      </c>
      <c r="G33" s="6">
        <v>25605.81</v>
      </c>
      <c r="H33" s="6">
        <f t="shared" si="0"/>
        <v>698.85155253083792</v>
      </c>
      <c r="I33" s="27">
        <f t="shared" si="1"/>
        <v>1089.1454700127606</v>
      </c>
      <c r="J33" s="12">
        <f t="shared" si="2"/>
        <v>4.2109929078014252E-2</v>
      </c>
      <c r="K33" s="12" cm="1">
        <f t="array" ref="K33">PRODUCT(J33:J92+1)^(1/5)-1</f>
        <v>-5.0541394790326821E-2</v>
      </c>
      <c r="L33" s="12">
        <f t="shared" si="3"/>
        <v>0.19456042999799239</v>
      </c>
      <c r="M33" s="13"/>
      <c r="N33" s="13"/>
      <c r="O33" s="13"/>
      <c r="P33" s="13"/>
      <c r="Q33" s="13"/>
      <c r="R33" s="13"/>
      <c r="S33" s="14"/>
      <c r="T33" s="13"/>
      <c r="U33" s="13"/>
    </row>
    <row r="34" spans="1:21" x14ac:dyDescent="0.3">
      <c r="A34" s="2" t="s">
        <v>8</v>
      </c>
      <c r="B34" s="4">
        <v>15766.4</v>
      </c>
      <c r="C34" s="8">
        <v>45077</v>
      </c>
      <c r="D34" s="2">
        <v>22.56</v>
      </c>
      <c r="E34" s="3">
        <v>4.12</v>
      </c>
      <c r="F34" s="4">
        <v>1.33</v>
      </c>
      <c r="G34" s="3">
        <v>24538.09</v>
      </c>
      <c r="H34" s="3">
        <f t="shared" si="0"/>
        <v>698.86524822695037</v>
      </c>
      <c r="I34" s="27">
        <f t="shared" si="1"/>
        <v>1087.6812943262412</v>
      </c>
      <c r="J34" s="12">
        <f t="shared" si="2"/>
        <v>3.3913840513290383E-2</v>
      </c>
      <c r="K34" s="12" cm="1">
        <f t="array" ref="K34">PRODUCT(J34:J93+1)^(1/5)-1</f>
        <v>-6.5115641075206843E-2</v>
      </c>
      <c r="L34" s="12">
        <f t="shared" si="3"/>
        <v>0.18372509936390258</v>
      </c>
      <c r="M34" s="12"/>
      <c r="N34" s="12"/>
      <c r="O34" s="12"/>
      <c r="P34" s="12"/>
      <c r="Q34" s="12"/>
      <c r="R34" s="12"/>
      <c r="S34" s="14"/>
      <c r="T34" s="12"/>
      <c r="U34" s="12"/>
    </row>
    <row r="35" spans="1:21" x14ac:dyDescent="0.3">
      <c r="A35" s="5" t="s">
        <v>8</v>
      </c>
      <c r="B35" s="7">
        <v>15219.55</v>
      </c>
      <c r="C35" s="9">
        <v>45044</v>
      </c>
      <c r="D35" s="5">
        <v>21.82</v>
      </c>
      <c r="E35" s="6">
        <v>3.98</v>
      </c>
      <c r="F35" s="7">
        <v>1.38</v>
      </c>
      <c r="G35" s="6">
        <v>23643.94</v>
      </c>
      <c r="H35" s="6">
        <f t="shared" si="0"/>
        <v>697.50458295142062</v>
      </c>
      <c r="I35" s="27">
        <f t="shared" si="1"/>
        <v>1083.5902841429879</v>
      </c>
      <c r="J35" s="12">
        <f t="shared" si="2"/>
        <v>3.2166508987701015E-2</v>
      </c>
      <c r="K35" s="12" cm="1">
        <f t="array" ref="K35">PRODUCT(J35:J94+1)^(1/5)-1</f>
        <v>-6.9972611264683016E-2</v>
      </c>
      <c r="L35" s="12">
        <f t="shared" ref="L35:L66" si="4">(H35/H94)^(1/5)-1</f>
        <v>0.18789896209072166</v>
      </c>
      <c r="M35" s="13"/>
      <c r="N35" s="13"/>
      <c r="O35" s="13"/>
      <c r="P35" s="13"/>
      <c r="Q35" s="13"/>
      <c r="R35" s="13"/>
      <c r="S35" s="14"/>
      <c r="T35" s="13"/>
      <c r="U35" s="13"/>
    </row>
    <row r="36" spans="1:21" x14ac:dyDescent="0.3">
      <c r="A36" s="2" t="s">
        <v>8</v>
      </c>
      <c r="B36" s="4">
        <v>14557.85</v>
      </c>
      <c r="C36" s="8">
        <v>45016</v>
      </c>
      <c r="D36" s="2">
        <v>21.14</v>
      </c>
      <c r="E36" s="3">
        <v>3.63</v>
      </c>
      <c r="F36" s="4">
        <v>1.43</v>
      </c>
      <c r="G36" s="3">
        <v>22609.54</v>
      </c>
      <c r="H36" s="3">
        <f t="shared" si="0"/>
        <v>688.64001892147587</v>
      </c>
      <c r="I36" s="27">
        <f t="shared" si="1"/>
        <v>1069.5146641438032</v>
      </c>
      <c r="J36" s="12">
        <f t="shared" si="2"/>
        <v>-3.3003300330033403E-3</v>
      </c>
      <c r="K36" s="12" cm="1">
        <f t="array" ref="K36">PRODUCT(J36:J95+1)^(1/5)-1</f>
        <v>-6.5420916379851812E-2</v>
      </c>
      <c r="L36" s="12">
        <f t="shared" si="4"/>
        <v>0.17858510383743242</v>
      </c>
      <c r="M36" s="12"/>
      <c r="N36" s="12"/>
      <c r="O36" s="12"/>
      <c r="P36" s="12"/>
      <c r="Q36" s="12"/>
      <c r="R36" s="12"/>
      <c r="S36" s="14"/>
      <c r="T36" s="12"/>
      <c r="U36" s="12"/>
    </row>
    <row r="37" spans="1:21" x14ac:dyDescent="0.3">
      <c r="A37" s="5" t="s">
        <v>8</v>
      </c>
      <c r="B37" s="7">
        <v>14518.75</v>
      </c>
      <c r="C37" s="9">
        <v>44985</v>
      </c>
      <c r="D37" s="5">
        <v>21.21</v>
      </c>
      <c r="E37" s="6">
        <v>3.82</v>
      </c>
      <c r="F37" s="7">
        <v>1.44</v>
      </c>
      <c r="G37" s="6">
        <v>22546.35</v>
      </c>
      <c r="H37" s="6">
        <f t="shared" si="0"/>
        <v>684.52380952380952</v>
      </c>
      <c r="I37" s="27">
        <f t="shared" si="1"/>
        <v>1063.005657708628</v>
      </c>
      <c r="J37" s="12">
        <f t="shared" si="2"/>
        <v>-2.5275735294117641E-2</v>
      </c>
      <c r="K37" s="12" cm="1">
        <f t="array" ref="K37">PRODUCT(J37:J96+1)^(1/5)-1</f>
        <v>-7.1591496330769111E-2</v>
      </c>
      <c r="L37" s="12">
        <f t="shared" si="4"/>
        <v>0.17892625884606495</v>
      </c>
      <c r="M37" s="13"/>
      <c r="N37" s="13"/>
      <c r="O37" s="13"/>
      <c r="P37" s="13"/>
      <c r="Q37" s="13"/>
      <c r="R37" s="13"/>
      <c r="S37" s="14"/>
      <c r="T37" s="13"/>
      <c r="U37" s="13"/>
    </row>
    <row r="38" spans="1:21" x14ac:dyDescent="0.3">
      <c r="A38" s="2" t="s">
        <v>8</v>
      </c>
      <c r="B38" s="4">
        <v>14935.5</v>
      </c>
      <c r="C38" s="8">
        <v>44957</v>
      </c>
      <c r="D38" s="2">
        <v>21.76</v>
      </c>
      <c r="E38" s="3">
        <v>3.94</v>
      </c>
      <c r="F38" s="4">
        <v>1.37</v>
      </c>
      <c r="G38" s="3">
        <v>23175.05</v>
      </c>
      <c r="H38" s="3">
        <f t="shared" si="0"/>
        <v>686.37408088235293</v>
      </c>
      <c r="I38" s="27">
        <f t="shared" si="1"/>
        <v>1065.0298713235293</v>
      </c>
      <c r="J38" s="12">
        <f t="shared" si="2"/>
        <v>-4.7702407002188196E-2</v>
      </c>
      <c r="K38" s="12" cm="1">
        <f t="array" ref="K38">PRODUCT(J38:J97+1)^(1/5)-1</f>
        <v>-7.6301846157567854E-2</v>
      </c>
      <c r="L38" s="12">
        <f t="shared" si="4"/>
        <v>0.17907432244828714</v>
      </c>
      <c r="M38" s="12"/>
      <c r="N38" s="12"/>
      <c r="O38" s="12"/>
      <c r="P38" s="12"/>
      <c r="Q38" s="12"/>
      <c r="R38" s="12"/>
      <c r="S38" s="14"/>
      <c r="T38" s="12"/>
      <c r="U38" s="12"/>
    </row>
    <row r="39" spans="1:21" x14ac:dyDescent="0.3">
      <c r="A39" s="5" t="s">
        <v>8</v>
      </c>
      <c r="B39" s="7">
        <v>15448.85</v>
      </c>
      <c r="C39" s="9">
        <v>44925</v>
      </c>
      <c r="D39" s="5">
        <v>22.85</v>
      </c>
      <c r="E39" s="6">
        <v>4.08</v>
      </c>
      <c r="F39" s="7">
        <v>1.26</v>
      </c>
      <c r="G39" s="6">
        <v>23967.119999999999</v>
      </c>
      <c r="H39" s="6">
        <f t="shared" si="0"/>
        <v>676.09846827133481</v>
      </c>
      <c r="I39" s="27">
        <f t="shared" si="1"/>
        <v>1048.8892778993434</v>
      </c>
      <c r="J39" s="12">
        <f t="shared" si="2"/>
        <v>-2.4754588134869748E-2</v>
      </c>
      <c r="K39" s="12" cm="1">
        <f t="array" ref="K39">PRODUCT(J39:J98+1)^(1/5)-1</f>
        <v>-6.8319421770838829E-2</v>
      </c>
      <c r="L39" s="12">
        <f t="shared" si="4"/>
        <v>0.17670650060349646</v>
      </c>
      <c r="M39" s="13"/>
      <c r="N39" s="13"/>
      <c r="O39" s="13"/>
      <c r="P39" s="13"/>
      <c r="Q39" s="13"/>
      <c r="R39" s="13"/>
      <c r="S39" s="14"/>
      <c r="T39" s="13"/>
      <c r="U39" s="13"/>
    </row>
    <row r="40" spans="1:21" x14ac:dyDescent="0.3">
      <c r="A40" s="2" t="s">
        <v>8</v>
      </c>
      <c r="B40" s="4">
        <v>15946.15</v>
      </c>
      <c r="C40" s="8">
        <v>44895</v>
      </c>
      <c r="D40" s="2">
        <v>23.43</v>
      </c>
      <c r="E40" s="3">
        <v>4.1900000000000004</v>
      </c>
      <c r="F40" s="4">
        <v>1.29</v>
      </c>
      <c r="G40" s="3">
        <v>24738.49</v>
      </c>
      <c r="H40" s="3">
        <f t="shared" si="0"/>
        <v>680.58685446009395</v>
      </c>
      <c r="I40" s="27">
        <f t="shared" si="1"/>
        <v>1055.8467776355101</v>
      </c>
      <c r="J40" s="12">
        <f t="shared" si="2"/>
        <v>5.4930211616389002E-2</v>
      </c>
      <c r="K40" s="12" cm="1">
        <f t="array" ref="K40">PRODUCT(J40:J99+1)^(1/5)-1</f>
        <v>-5.7116685880091778E-2</v>
      </c>
      <c r="L40" s="12">
        <f t="shared" si="4"/>
        <v>0.18475273065379061</v>
      </c>
      <c r="M40" s="12"/>
      <c r="N40" s="12"/>
      <c r="O40" s="12"/>
      <c r="P40" s="12"/>
      <c r="Q40" s="12"/>
      <c r="R40" s="12"/>
      <c r="S40" s="14"/>
      <c r="T40" s="12"/>
      <c r="U40" s="12"/>
    </row>
    <row r="41" spans="1:21" x14ac:dyDescent="0.3">
      <c r="A41" s="5" t="s">
        <v>8</v>
      </c>
      <c r="B41" s="7">
        <v>15424</v>
      </c>
      <c r="C41" s="9">
        <v>44865</v>
      </c>
      <c r="D41" s="5">
        <v>22.21</v>
      </c>
      <c r="E41" s="6">
        <v>4.0599999999999996</v>
      </c>
      <c r="F41" s="7">
        <v>1.27</v>
      </c>
      <c r="G41" s="6">
        <v>23919.759999999998</v>
      </c>
      <c r="H41" s="6">
        <f t="shared" si="0"/>
        <v>694.46195407474113</v>
      </c>
      <c r="I41" s="27">
        <f t="shared" si="1"/>
        <v>1076.9815398469157</v>
      </c>
      <c r="J41" s="12">
        <f t="shared" si="2"/>
        <v>2.5866050808314167E-2</v>
      </c>
      <c r="K41" s="12" cm="1">
        <f t="array" ref="K41">PRODUCT(J41:J100+1)^(1/5)-1</f>
        <v>-6.4815304675600149E-2</v>
      </c>
      <c r="L41" s="12">
        <f t="shared" si="4"/>
        <v>0.1898693380898242</v>
      </c>
      <c r="M41" s="13"/>
      <c r="N41" s="13"/>
      <c r="O41" s="13"/>
      <c r="P41" s="13"/>
      <c r="Q41" s="13"/>
      <c r="R41" s="13"/>
      <c r="S41" s="14"/>
      <c r="T41" s="13"/>
      <c r="U41" s="13"/>
    </row>
    <row r="42" spans="1:21" x14ac:dyDescent="0.3">
      <c r="A42" s="2" t="s">
        <v>8</v>
      </c>
      <c r="B42" s="4">
        <v>14829.35</v>
      </c>
      <c r="C42" s="8">
        <v>44834</v>
      </c>
      <c r="D42" s="2">
        <v>21.65</v>
      </c>
      <c r="E42" s="3">
        <v>3.9</v>
      </c>
      <c r="F42" s="4">
        <v>1.33</v>
      </c>
      <c r="G42" s="3">
        <v>22979.45</v>
      </c>
      <c r="H42" s="3">
        <f t="shared" si="0"/>
        <v>684.958429561201</v>
      </c>
      <c r="I42" s="27">
        <f t="shared" si="1"/>
        <v>1061.4064665127021</v>
      </c>
      <c r="J42" s="12">
        <f t="shared" si="2"/>
        <v>-2.6966292134831482E-2</v>
      </c>
      <c r="K42" s="12" cm="1">
        <f t="array" ref="K42">PRODUCT(J42:J101+1)^(1/5)-1</f>
        <v>-6.0510466383401851E-2</v>
      </c>
      <c r="L42" s="12">
        <f t="shared" si="4"/>
        <v>0.18365947190084553</v>
      </c>
      <c r="M42" s="12"/>
      <c r="N42" s="12"/>
      <c r="O42" s="12"/>
      <c r="P42" s="12"/>
      <c r="Q42" s="12"/>
      <c r="R42" s="12"/>
      <c r="S42" s="14"/>
      <c r="T42" s="12"/>
      <c r="U42" s="12"/>
    </row>
    <row r="43" spans="1:21" x14ac:dyDescent="0.3">
      <c r="A43" s="5" t="s">
        <v>8</v>
      </c>
      <c r="B43" s="7">
        <v>15325.05</v>
      </c>
      <c r="C43" s="9">
        <v>44803</v>
      </c>
      <c r="D43" s="5">
        <v>22.25</v>
      </c>
      <c r="E43" s="6">
        <v>4.0599999999999996</v>
      </c>
      <c r="F43" s="7">
        <v>1.39</v>
      </c>
      <c r="G43" s="6">
        <v>23740.37</v>
      </c>
      <c r="H43" s="6">
        <f t="shared" si="0"/>
        <v>688.76629213483147</v>
      </c>
      <c r="I43" s="27">
        <f t="shared" si="1"/>
        <v>1066.9829213483144</v>
      </c>
      <c r="J43" s="12">
        <f t="shared" si="2"/>
        <v>3.6329762459245574E-2</v>
      </c>
      <c r="K43" s="12" cm="1">
        <f t="array" ref="K43">PRODUCT(J43:J102+1)^(1/5)-1</f>
        <v>-5.5678945540614588E-2</v>
      </c>
      <c r="L43" s="12">
        <f t="shared" si="4"/>
        <v>0.18826777809038697</v>
      </c>
      <c r="M43" s="13"/>
      <c r="N43" s="13"/>
      <c r="O43" s="13"/>
      <c r="P43" s="13"/>
      <c r="Q43" s="13"/>
      <c r="R43" s="13"/>
      <c r="S43" s="14"/>
      <c r="T43" s="13"/>
      <c r="U43" s="13"/>
    </row>
    <row r="44" spans="1:21" x14ac:dyDescent="0.3">
      <c r="A44" s="2" t="s">
        <v>8</v>
      </c>
      <c r="B44" s="4">
        <v>14665.65</v>
      </c>
      <c r="C44" s="8">
        <v>44771</v>
      </c>
      <c r="D44" s="2">
        <v>21.47</v>
      </c>
      <c r="E44" s="3">
        <v>4.01</v>
      </c>
      <c r="F44" s="4">
        <v>1.34</v>
      </c>
      <c r="G44" s="3">
        <v>22678.29</v>
      </c>
      <c r="H44" s="3">
        <f t="shared" si="0"/>
        <v>683.07638565440152</v>
      </c>
      <c r="I44" s="27">
        <f t="shared" si="1"/>
        <v>1056.278062412669</v>
      </c>
      <c r="J44" s="12">
        <f t="shared" si="2"/>
        <v>7.0822942643391507E-2</v>
      </c>
      <c r="K44" s="12" cm="1">
        <f t="array" ref="K44">PRODUCT(J44:J103+1)^(1/5)-1</f>
        <v>-6.0484398619067181E-2</v>
      </c>
      <c r="L44" s="12">
        <f t="shared" si="4"/>
        <v>0.18409559876252213</v>
      </c>
      <c r="M44" s="12"/>
      <c r="N44" s="12"/>
      <c r="O44" s="12"/>
      <c r="P44" s="12"/>
      <c r="Q44" s="12"/>
      <c r="R44" s="12"/>
      <c r="S44" s="14"/>
      <c r="T44" s="12"/>
      <c r="U44" s="12"/>
    </row>
    <row r="45" spans="1:21" x14ac:dyDescent="0.3">
      <c r="A45" s="5" t="s">
        <v>8</v>
      </c>
      <c r="B45" s="7">
        <v>13387.55</v>
      </c>
      <c r="C45" s="9">
        <v>44742</v>
      </c>
      <c r="D45" s="5">
        <v>20.05</v>
      </c>
      <c r="E45" s="6">
        <v>3.85</v>
      </c>
      <c r="F45" s="7">
        <v>1.44</v>
      </c>
      <c r="G45" s="6">
        <v>20667.27</v>
      </c>
      <c r="H45" s="6">
        <f t="shared" si="0"/>
        <v>667.70822942643383</v>
      </c>
      <c r="I45" s="27">
        <f t="shared" si="1"/>
        <v>1030.7865336658353</v>
      </c>
      <c r="J45" s="12">
        <f t="shared" si="2"/>
        <v>-4.8410061699098228E-2</v>
      </c>
      <c r="K45" s="12" cm="1">
        <f t="array" ref="K45">PRODUCT(J45:J104+1)^(1/5)-1</f>
        <v>-6.2731049314206699E-2</v>
      </c>
      <c r="L45" s="12">
        <f t="shared" si="4"/>
        <v>0.17367912507385097</v>
      </c>
      <c r="M45" s="13"/>
      <c r="N45" s="13"/>
      <c r="O45" s="13"/>
      <c r="P45" s="13"/>
      <c r="Q45" s="13"/>
      <c r="R45" s="13"/>
      <c r="S45" s="14"/>
      <c r="T45" s="13"/>
      <c r="U45" s="13"/>
    </row>
    <row r="46" spans="1:21" x14ac:dyDescent="0.3">
      <c r="A46" s="2" t="s">
        <v>8</v>
      </c>
      <c r="B46" s="4">
        <v>14119.6</v>
      </c>
      <c r="C46" s="8">
        <v>44712</v>
      </c>
      <c r="D46" s="2">
        <v>21.07</v>
      </c>
      <c r="E46" s="3">
        <v>4.0599999999999996</v>
      </c>
      <c r="F46" s="4">
        <v>1.4</v>
      </c>
      <c r="G46" s="3">
        <v>21765.82</v>
      </c>
      <c r="H46" s="3">
        <f t="shared" si="0"/>
        <v>670.12814428096817</v>
      </c>
      <c r="I46" s="27">
        <f t="shared" si="1"/>
        <v>1033.0242050308495</v>
      </c>
      <c r="J46" s="12">
        <f t="shared" si="2"/>
        <v>-8.9848812095032371E-2</v>
      </c>
      <c r="K46" s="12" cm="1">
        <f t="array" ref="K46">PRODUCT(J46:J105+1)^(1/5)-1</f>
        <v>-5.4743169414042891E-2</v>
      </c>
      <c r="L46" s="12">
        <f t="shared" si="4"/>
        <v>0.17393630705352203</v>
      </c>
      <c r="M46" s="12"/>
      <c r="N46" s="12"/>
      <c r="O46" s="12"/>
      <c r="P46" s="12"/>
      <c r="Q46" s="12"/>
      <c r="R46" s="12"/>
      <c r="S46" s="14"/>
      <c r="T46" s="12"/>
      <c r="U46" s="12"/>
    </row>
    <row r="47" spans="1:21" x14ac:dyDescent="0.3">
      <c r="A47" s="5" t="s">
        <v>8</v>
      </c>
      <c r="B47" s="7">
        <v>14783.35</v>
      </c>
      <c r="C47" s="9">
        <v>44680</v>
      </c>
      <c r="D47" s="5">
        <v>23.15</v>
      </c>
      <c r="E47" s="6">
        <v>4.26</v>
      </c>
      <c r="F47" s="7">
        <v>1.1399999999999999</v>
      </c>
      <c r="G47" s="6">
        <v>22726.01</v>
      </c>
      <c r="H47" s="6">
        <f t="shared" si="0"/>
        <v>638.58963282937373</v>
      </c>
      <c r="I47" s="27">
        <f t="shared" si="1"/>
        <v>981.68509719222459</v>
      </c>
      <c r="J47" s="12">
        <f t="shared" si="2"/>
        <v>-2.1968736797634225E-2</v>
      </c>
      <c r="K47" s="12" cm="1">
        <f t="array" ref="K47">PRODUCT(J47:J106+1)^(1/5)-1</f>
        <v>-3.448314649603812E-2</v>
      </c>
      <c r="L47" s="12">
        <f t="shared" si="4"/>
        <v>0.16380516118421684</v>
      </c>
      <c r="M47" s="13"/>
      <c r="N47" s="13"/>
      <c r="O47" s="13"/>
      <c r="P47" s="13"/>
      <c r="Q47" s="13"/>
      <c r="R47" s="13"/>
      <c r="S47" s="14"/>
      <c r="T47" s="13"/>
      <c r="U47" s="13"/>
    </row>
    <row r="48" spans="1:21" x14ac:dyDescent="0.3">
      <c r="A48" s="2" t="s">
        <v>8</v>
      </c>
      <c r="B48" s="4">
        <v>14894.5</v>
      </c>
      <c r="C48" s="8">
        <v>44651</v>
      </c>
      <c r="D48" s="2">
        <v>23.67</v>
      </c>
      <c r="E48" s="3">
        <v>4.29</v>
      </c>
      <c r="F48" s="4">
        <v>1.1299999999999999</v>
      </c>
      <c r="G48" s="3">
        <v>22889.14</v>
      </c>
      <c r="H48" s="3">
        <f t="shared" si="0"/>
        <v>629.25644275454158</v>
      </c>
      <c r="I48" s="27">
        <f t="shared" si="1"/>
        <v>967.01056189269104</v>
      </c>
      <c r="J48" s="12">
        <f t="shared" si="2"/>
        <v>4.411116012351135E-2</v>
      </c>
      <c r="K48" s="12" cm="1">
        <f t="array" ref="K48">PRODUCT(J48:J107+1)^(1/5)-1</f>
        <v>-2.4678277741284949E-2</v>
      </c>
      <c r="L48" s="12">
        <f t="shared" si="4"/>
        <v>0.16145332675138047</v>
      </c>
      <c r="M48" s="12"/>
      <c r="N48" s="12"/>
      <c r="O48" s="12"/>
      <c r="P48" s="12"/>
      <c r="Q48" s="12"/>
      <c r="R48" s="12"/>
      <c r="S48" s="14"/>
      <c r="T48" s="12"/>
      <c r="U48" s="12"/>
    </row>
    <row r="49" spans="1:21" x14ac:dyDescent="0.3">
      <c r="A49" s="5" t="s">
        <v>8</v>
      </c>
      <c r="B49" s="7">
        <v>14307.95</v>
      </c>
      <c r="C49" s="9">
        <v>44620</v>
      </c>
      <c r="D49" s="5">
        <v>22.67</v>
      </c>
      <c r="E49" s="6">
        <v>4.09</v>
      </c>
      <c r="F49" s="7">
        <v>1.22</v>
      </c>
      <c r="G49" s="6">
        <v>21978.65</v>
      </c>
      <c r="H49" s="6">
        <f t="shared" si="0"/>
        <v>631.14027348919274</v>
      </c>
      <c r="I49" s="27">
        <f t="shared" si="1"/>
        <v>969.50374944861051</v>
      </c>
      <c r="J49" s="12">
        <f t="shared" si="2"/>
        <v>-8.4779975777149685E-2</v>
      </c>
      <c r="K49" s="12" cm="1">
        <f t="array" ref="K49">PRODUCT(J49:J108+1)^(1/5)-1</f>
        <v>-3.1249380712682462E-2</v>
      </c>
      <c r="L49" s="12">
        <f t="shared" si="4"/>
        <v>0.16185704743488305</v>
      </c>
      <c r="M49" s="13"/>
      <c r="N49" s="13"/>
      <c r="O49" s="13"/>
      <c r="P49" s="13"/>
      <c r="Q49" s="13"/>
      <c r="R49" s="13"/>
      <c r="S49" s="14"/>
      <c r="T49" s="13"/>
      <c r="U49" s="13"/>
    </row>
    <row r="50" spans="1:21" x14ac:dyDescent="0.3">
      <c r="A50" s="2" t="s">
        <v>8</v>
      </c>
      <c r="B50" s="4">
        <v>14921.45</v>
      </c>
      <c r="C50" s="8">
        <v>44592</v>
      </c>
      <c r="D50" s="2">
        <v>24.77</v>
      </c>
      <c r="E50" s="3">
        <v>4.2699999999999996</v>
      </c>
      <c r="F50" s="4">
        <v>1.1399999999999999</v>
      </c>
      <c r="G50" s="3">
        <v>22881.58</v>
      </c>
      <c r="H50" s="3">
        <f t="shared" si="0"/>
        <v>602.40008074283412</v>
      </c>
      <c r="I50" s="27">
        <f t="shared" si="1"/>
        <v>923.76180863948332</v>
      </c>
      <c r="J50" s="12">
        <f t="shared" si="2"/>
        <v>-2.6336477987421447E-2</v>
      </c>
      <c r="K50" s="12" cm="1">
        <f t="array" ref="K50">PRODUCT(J50:J109+1)^(1/5)-1</f>
        <v>-1.3931942821680421E-2</v>
      </c>
      <c r="L50" s="12">
        <f t="shared" si="4"/>
        <v>0.15732298714744375</v>
      </c>
      <c r="M50" s="12"/>
      <c r="N50" s="12"/>
      <c r="O50" s="12"/>
      <c r="P50" s="12"/>
      <c r="Q50" s="12"/>
      <c r="R50" s="12"/>
      <c r="S50" s="14"/>
      <c r="T50" s="12"/>
      <c r="U50" s="12"/>
    </row>
    <row r="51" spans="1:21" x14ac:dyDescent="0.3">
      <c r="A51" s="5" t="s">
        <v>8</v>
      </c>
      <c r="B51" s="7">
        <v>14996.2</v>
      </c>
      <c r="C51" s="9">
        <v>44561</v>
      </c>
      <c r="D51" s="5">
        <v>25.44</v>
      </c>
      <c r="E51" s="6">
        <v>4.29</v>
      </c>
      <c r="F51" s="7">
        <v>1.1299999999999999</v>
      </c>
      <c r="G51" s="6">
        <v>22990.880000000001</v>
      </c>
      <c r="H51" s="6">
        <f t="shared" si="0"/>
        <v>589.47327044025155</v>
      </c>
      <c r="I51" s="27">
        <f t="shared" si="1"/>
        <v>903.72955974842762</v>
      </c>
      <c r="J51" s="12">
        <f t="shared" si="2"/>
        <v>2.9959514170040613E-2</v>
      </c>
      <c r="K51" s="12" cm="1">
        <f t="array" ref="K51">PRODUCT(J51:J110+1)^(1/5)-1</f>
        <v>1.1042778139431775E-3</v>
      </c>
      <c r="L51" s="12">
        <f t="shared" si="4"/>
        <v>0.16243345608297921</v>
      </c>
      <c r="M51" s="13"/>
      <c r="N51" s="13"/>
      <c r="O51" s="13"/>
      <c r="P51" s="13"/>
      <c r="Q51" s="13"/>
      <c r="R51" s="13"/>
      <c r="S51" s="14"/>
      <c r="T51" s="13"/>
      <c r="U51" s="13"/>
    </row>
    <row r="52" spans="1:21" x14ac:dyDescent="0.3">
      <c r="A52" s="2" t="s">
        <v>8</v>
      </c>
      <c r="B52" s="4">
        <v>14648.35</v>
      </c>
      <c r="C52" s="8">
        <v>44530</v>
      </c>
      <c r="D52" s="2">
        <v>24.7</v>
      </c>
      <c r="E52" s="3">
        <v>4.17</v>
      </c>
      <c r="F52" s="4">
        <v>1.1100000000000001</v>
      </c>
      <c r="G52" s="3">
        <v>22447.74</v>
      </c>
      <c r="H52" s="3">
        <f t="shared" si="0"/>
        <v>593.05060728744945</v>
      </c>
      <c r="I52" s="27">
        <f t="shared" si="1"/>
        <v>908.81538461538469</v>
      </c>
      <c r="J52" s="12">
        <f t="shared" si="2"/>
        <v>-8.2466567607726637E-2</v>
      </c>
      <c r="K52" s="12" cm="1">
        <f t="array" ref="K52">PRODUCT(J52:J111+1)^(1/5)-1</f>
        <v>-3.1283199271116002E-3</v>
      </c>
      <c r="L52" s="12">
        <f t="shared" si="4"/>
        <v>0.16529674829999763</v>
      </c>
      <c r="M52" s="12"/>
      <c r="N52" s="12"/>
      <c r="O52" s="12"/>
      <c r="P52" s="12"/>
      <c r="Q52" s="12"/>
      <c r="R52" s="12"/>
      <c r="S52" s="14"/>
      <c r="T52" s="12"/>
      <c r="U52" s="12"/>
    </row>
    <row r="53" spans="1:21" x14ac:dyDescent="0.3">
      <c r="A53" s="5" t="s">
        <v>8</v>
      </c>
      <c r="B53" s="7">
        <v>15086.9</v>
      </c>
      <c r="C53" s="9">
        <v>44498</v>
      </c>
      <c r="D53" s="5">
        <v>26.92</v>
      </c>
      <c r="E53" s="6">
        <v>4.29</v>
      </c>
      <c r="F53" s="7">
        <v>1.07</v>
      </c>
      <c r="G53" s="6">
        <v>23100.97</v>
      </c>
      <c r="H53" s="6">
        <f t="shared" si="0"/>
        <v>560.43462109955419</v>
      </c>
      <c r="I53" s="27">
        <f t="shared" si="1"/>
        <v>858.13410104011882</v>
      </c>
      <c r="J53" s="12">
        <f t="shared" si="2"/>
        <v>-3.9257673090649425E-2</v>
      </c>
      <c r="K53" s="12" cm="1">
        <f t="array" ref="K53">PRODUCT(J53:J112+1)^(1/5)-1</f>
        <v>-4.7603773680099382E-3</v>
      </c>
      <c r="L53" s="12">
        <f t="shared" si="4"/>
        <v>0.14711202702515824</v>
      </c>
      <c r="M53" s="13"/>
      <c r="N53" s="13"/>
      <c r="O53" s="13"/>
      <c r="P53" s="13"/>
      <c r="Q53" s="13"/>
      <c r="R53" s="13"/>
      <c r="S53" s="14"/>
      <c r="T53" s="13"/>
      <c r="U53" s="13"/>
    </row>
    <row r="54" spans="1:21" x14ac:dyDescent="0.3">
      <c r="A54" s="2" t="s">
        <v>8</v>
      </c>
      <c r="B54" s="4">
        <v>15052.65</v>
      </c>
      <c r="C54" s="8">
        <v>44469</v>
      </c>
      <c r="D54" s="2">
        <v>28.02</v>
      </c>
      <c r="E54" s="3">
        <v>4.2699999999999996</v>
      </c>
      <c r="F54" s="4">
        <v>1.1100000000000001</v>
      </c>
      <c r="G54" s="3">
        <v>23029.08</v>
      </c>
      <c r="H54" s="3">
        <f t="shared" si="0"/>
        <v>537.21092077087792</v>
      </c>
      <c r="I54" s="27">
        <f t="shared" si="1"/>
        <v>821.88008565310497</v>
      </c>
      <c r="J54" s="12">
        <f t="shared" si="2"/>
        <v>2.9768467475192795E-2</v>
      </c>
      <c r="K54" s="12" cm="1">
        <f t="array" ref="K54">PRODUCT(J54:J113+1)^(1/5)-1</f>
        <v>3.8265503668946099E-3</v>
      </c>
      <c r="L54" s="12">
        <f t="shared" si="4"/>
        <v>0.14574316730155235</v>
      </c>
      <c r="M54" s="12"/>
      <c r="N54" s="12"/>
      <c r="O54" s="12"/>
      <c r="P54" s="12"/>
      <c r="Q54" s="12"/>
      <c r="R54" s="12"/>
      <c r="S54" s="14"/>
      <c r="T54" s="12"/>
      <c r="U54" s="12"/>
    </row>
    <row r="55" spans="1:21" x14ac:dyDescent="0.3">
      <c r="A55" s="5" t="s">
        <v>8</v>
      </c>
      <c r="B55" s="7">
        <v>14555.9</v>
      </c>
      <c r="C55" s="9">
        <v>44439</v>
      </c>
      <c r="D55" s="5">
        <v>27.21</v>
      </c>
      <c r="E55" s="6">
        <v>4.2</v>
      </c>
      <c r="F55" s="7">
        <v>1.01</v>
      </c>
      <c r="G55" s="6">
        <v>22253.61</v>
      </c>
      <c r="H55" s="6">
        <f t="shared" si="0"/>
        <v>534.94671076809993</v>
      </c>
      <c r="I55" s="27">
        <f t="shared" si="1"/>
        <v>817.84674751929435</v>
      </c>
      <c r="J55" s="12">
        <f t="shared" si="2"/>
        <v>-5.5863983344899393E-2</v>
      </c>
      <c r="K55" s="12" cm="1">
        <f t="array" ref="K55">PRODUCT(J55:J114+1)^(1/5)-1</f>
        <v>-7.3331184088227808E-3</v>
      </c>
      <c r="L55" s="12">
        <f t="shared" si="4"/>
        <v>0.14739031166598116</v>
      </c>
      <c r="M55" s="13"/>
      <c r="N55" s="13"/>
      <c r="O55" s="13"/>
      <c r="P55" s="13"/>
      <c r="Q55" s="13"/>
      <c r="R55" s="13"/>
      <c r="S55" s="14"/>
      <c r="T55" s="13"/>
      <c r="U55" s="13"/>
    </row>
    <row r="56" spans="1:21" x14ac:dyDescent="0.3">
      <c r="A56" s="2" t="s">
        <v>8</v>
      </c>
      <c r="B56" s="4">
        <v>13664.25</v>
      </c>
      <c r="C56" s="8">
        <v>44407</v>
      </c>
      <c r="D56" s="2">
        <v>28.82</v>
      </c>
      <c r="E56" s="3">
        <v>4.0599999999999996</v>
      </c>
      <c r="F56" s="4">
        <v>1.08</v>
      </c>
      <c r="G56" s="3">
        <v>20876.599999999999</v>
      </c>
      <c r="H56" s="3">
        <f t="shared" si="0"/>
        <v>474.12387231089519</v>
      </c>
      <c r="I56" s="27">
        <f t="shared" si="1"/>
        <v>724.37890353920886</v>
      </c>
      <c r="J56" s="12">
        <f t="shared" si="2"/>
        <v>-4.5695364238410585E-2</v>
      </c>
      <c r="K56" s="12" cm="1">
        <f t="array" ref="K56">PRODUCT(J56:J115+1)^(1/5)-1</f>
        <v>1.1935524205437531E-2</v>
      </c>
      <c r="L56" s="12">
        <f t="shared" si="4"/>
        <v>0.12309537592632824</v>
      </c>
      <c r="M56" s="12"/>
      <c r="N56" s="12"/>
      <c r="O56" s="12"/>
      <c r="P56" s="12"/>
      <c r="Q56" s="12"/>
      <c r="R56" s="12"/>
      <c r="S56" s="14"/>
      <c r="T56" s="12"/>
      <c r="U56" s="12"/>
    </row>
    <row r="57" spans="1:21" x14ac:dyDescent="0.3">
      <c r="A57" s="5" t="s">
        <v>8</v>
      </c>
      <c r="B57" s="7">
        <v>13473.55</v>
      </c>
      <c r="C57" s="9">
        <v>44377</v>
      </c>
      <c r="D57" s="5">
        <v>30.2</v>
      </c>
      <c r="E57" s="6">
        <v>4.16</v>
      </c>
      <c r="F57" s="7">
        <v>1.1299999999999999</v>
      </c>
      <c r="G57" s="6">
        <v>20552.2</v>
      </c>
      <c r="H57" s="6">
        <f t="shared" si="0"/>
        <v>446.14403973509934</v>
      </c>
      <c r="I57" s="27">
        <f t="shared" si="1"/>
        <v>680.53642384105967</v>
      </c>
      <c r="J57" s="12">
        <f t="shared" si="2"/>
        <v>-3.6067666773060947E-2</v>
      </c>
      <c r="K57" s="12" cm="1">
        <f t="array" ref="K57">PRODUCT(J57:J116+1)^(1/5)-1</f>
        <v>3.1276160521556129E-2</v>
      </c>
      <c r="L57" s="12">
        <f t="shared" si="4"/>
        <v>0.10575822192439688</v>
      </c>
      <c r="M57" s="13"/>
      <c r="N57" s="13"/>
      <c r="O57" s="13"/>
      <c r="P57" s="13"/>
      <c r="Q57" s="13"/>
      <c r="R57" s="13"/>
      <c r="S57" s="14"/>
      <c r="T57" s="13"/>
      <c r="U57" s="13"/>
    </row>
    <row r="58" spans="1:21" x14ac:dyDescent="0.3">
      <c r="A58" s="2" t="s">
        <v>8</v>
      </c>
      <c r="B58" s="4">
        <v>13226.35</v>
      </c>
      <c r="C58" s="8">
        <v>44347</v>
      </c>
      <c r="D58" s="2">
        <v>31.33</v>
      </c>
      <c r="E58" s="3">
        <v>4.2300000000000004</v>
      </c>
      <c r="F58" s="4">
        <v>0.99</v>
      </c>
      <c r="G58" s="3">
        <v>20138.099999999999</v>
      </c>
      <c r="H58" s="3">
        <f t="shared" si="0"/>
        <v>422.16246409192473</v>
      </c>
      <c r="I58" s="27">
        <f t="shared" si="1"/>
        <v>642.7736993297159</v>
      </c>
      <c r="J58" s="12">
        <f t="shared" si="2"/>
        <v>-0.11422109132032798</v>
      </c>
      <c r="K58" s="12" cm="1">
        <f t="array" ref="K58">PRODUCT(J58:J117+1)^(1/5)-1</f>
        <v>4.6425635454094172E-2</v>
      </c>
      <c r="L58" s="12">
        <f t="shared" si="4"/>
        <v>9.3808500541112227E-2</v>
      </c>
      <c r="M58" s="12"/>
      <c r="N58" s="12"/>
      <c r="O58" s="12"/>
      <c r="P58" s="12"/>
      <c r="Q58" s="12"/>
      <c r="R58" s="12"/>
      <c r="S58" s="14"/>
      <c r="T58" s="12"/>
      <c r="U58" s="12"/>
    </row>
    <row r="59" spans="1:21" x14ac:dyDescent="0.3">
      <c r="A59" s="5" t="s">
        <v>8</v>
      </c>
      <c r="B59" s="7">
        <v>12364.35</v>
      </c>
      <c r="C59" s="9">
        <v>44316</v>
      </c>
      <c r="D59" s="5">
        <v>35.369999999999997</v>
      </c>
      <c r="E59" s="6">
        <v>3.98</v>
      </c>
      <c r="F59" s="7">
        <v>0.98</v>
      </c>
      <c r="G59" s="6">
        <v>18802.03</v>
      </c>
      <c r="H59" s="6">
        <f t="shared" si="0"/>
        <v>349.57167090754882</v>
      </c>
      <c r="I59" s="27">
        <f t="shared" si="1"/>
        <v>531.58128357365001</v>
      </c>
      <c r="J59" s="12">
        <f t="shared" si="2"/>
        <v>-1.448871551964348E-2</v>
      </c>
      <c r="K59" s="12" cm="1">
        <f t="array" ref="K59">PRODUCT(J59:J118+1)^(1/5)-1</f>
        <v>8.8376863229804092E-2</v>
      </c>
      <c r="L59" s="12">
        <f t="shared" si="4"/>
        <v>5.1085617721557064E-2</v>
      </c>
      <c r="M59" s="13"/>
      <c r="N59" s="13"/>
      <c r="O59" s="13"/>
      <c r="P59" s="13"/>
      <c r="Q59" s="13"/>
      <c r="R59" s="13"/>
      <c r="S59" s="14"/>
      <c r="T59" s="13"/>
      <c r="U59" s="13"/>
    </row>
    <row r="60" spans="1:21" x14ac:dyDescent="0.3">
      <c r="A60" s="2" t="s">
        <v>8</v>
      </c>
      <c r="B60" s="4">
        <v>12313.7</v>
      </c>
      <c r="C60" s="8">
        <v>44286</v>
      </c>
      <c r="D60" s="2">
        <v>35.89</v>
      </c>
      <c r="E60" s="3">
        <v>3.96</v>
      </c>
      <c r="F60" s="4">
        <v>0.95</v>
      </c>
      <c r="G60" s="3">
        <v>18717.240000000002</v>
      </c>
      <c r="H60" s="3">
        <f t="shared" si="0"/>
        <v>343.09556979660073</v>
      </c>
      <c r="I60" s="27">
        <f t="shared" si="1"/>
        <v>521.51685706324884</v>
      </c>
      <c r="J60" s="12">
        <f t="shared" si="2"/>
        <v>-0.15849941383352872</v>
      </c>
      <c r="K60" s="12" cm="1">
        <f t="array" ref="K60">PRODUCT(J60:J119+1)^(1/5)-1</f>
        <v>9.4887845446141927E-2</v>
      </c>
      <c r="L60" s="12">
        <f t="shared" si="4"/>
        <v>3.8180252629872902E-2</v>
      </c>
      <c r="M60" s="12"/>
      <c r="N60" s="12"/>
      <c r="O60" s="12"/>
      <c r="P60" s="12"/>
      <c r="Q60" s="12"/>
      <c r="R60" s="12"/>
      <c r="S60" s="14"/>
      <c r="T60" s="12"/>
      <c r="U60" s="12"/>
    </row>
    <row r="61" spans="1:21" x14ac:dyDescent="0.3">
      <c r="A61" s="5" t="s">
        <v>8</v>
      </c>
      <c r="B61" s="7">
        <v>12181.4</v>
      </c>
      <c r="C61" s="9">
        <v>44253</v>
      </c>
      <c r="D61" s="5">
        <v>42.65</v>
      </c>
      <c r="E61" s="6">
        <v>3.93</v>
      </c>
      <c r="F61" s="7">
        <v>1.1399999999999999</v>
      </c>
      <c r="G61" s="6">
        <v>18504.86</v>
      </c>
      <c r="H61" s="6">
        <f t="shared" si="0"/>
        <v>285.61313012895664</v>
      </c>
      <c r="I61" s="27">
        <f t="shared" si="1"/>
        <v>433.8771395076202</v>
      </c>
      <c r="J61" s="12">
        <f t="shared" si="2"/>
        <v>6.120925603383931E-2</v>
      </c>
      <c r="K61" s="12" cm="1">
        <f t="array" ref="K61">PRODUCT(J61:J120+1)^(1/5)-1</f>
        <v>0.15622370349758374</v>
      </c>
      <c r="L61" s="12">
        <f t="shared" si="4"/>
        <v>1.9355812168064812E-3</v>
      </c>
      <c r="M61" s="13"/>
      <c r="N61" s="13"/>
      <c r="O61" s="13"/>
      <c r="P61" s="13"/>
      <c r="Q61" s="13"/>
      <c r="R61" s="13"/>
      <c r="S61" s="14"/>
      <c r="T61" s="13"/>
      <c r="U61" s="13"/>
    </row>
    <row r="62" spans="1:21" x14ac:dyDescent="0.3">
      <c r="A62" s="2" t="s">
        <v>8</v>
      </c>
      <c r="B62" s="4">
        <v>11302.4</v>
      </c>
      <c r="C62" s="8">
        <v>44225</v>
      </c>
      <c r="D62" s="2">
        <v>40.19</v>
      </c>
      <c r="E62" s="3">
        <v>3.65</v>
      </c>
      <c r="F62" s="4">
        <v>1.23</v>
      </c>
      <c r="G62" s="3">
        <v>17147.27</v>
      </c>
      <c r="H62" s="3">
        <f t="shared" si="0"/>
        <v>281.22418512067679</v>
      </c>
      <c r="I62" s="27">
        <f t="shared" si="1"/>
        <v>426.65513809405326</v>
      </c>
      <c r="J62" s="12">
        <f t="shared" si="2"/>
        <v>-7.3749711915187866E-2</v>
      </c>
      <c r="K62" s="12" cm="1">
        <f t="array" ref="K62">PRODUCT(J62:J121+1)^(1/5)-1</f>
        <v>0.12725919737328661</v>
      </c>
      <c r="L62" s="12">
        <f t="shared" si="4"/>
        <v>-8.7573617838365703E-4</v>
      </c>
      <c r="M62" s="12"/>
      <c r="N62" s="12"/>
      <c r="O62" s="12"/>
      <c r="P62" s="12"/>
      <c r="Q62" s="12"/>
      <c r="R62" s="12"/>
      <c r="S62" s="14"/>
      <c r="T62" s="12"/>
      <c r="U62" s="12"/>
    </row>
    <row r="63" spans="1:21" x14ac:dyDescent="0.3">
      <c r="A63" s="5" t="s">
        <v>8</v>
      </c>
      <c r="B63" s="7">
        <v>11518.3</v>
      </c>
      <c r="C63" s="9">
        <v>44196</v>
      </c>
      <c r="D63" s="5">
        <v>43.39</v>
      </c>
      <c r="E63" s="6">
        <v>3.72</v>
      </c>
      <c r="F63" s="7">
        <v>1.21</v>
      </c>
      <c r="G63" s="6">
        <v>17470.79</v>
      </c>
      <c r="H63" s="6">
        <f t="shared" si="0"/>
        <v>265.45978336022125</v>
      </c>
      <c r="I63" s="27">
        <f t="shared" si="1"/>
        <v>402.64554044710763</v>
      </c>
      <c r="J63" s="12">
        <f t="shared" si="2"/>
        <v>6.924593395761458E-2</v>
      </c>
      <c r="K63" s="12" cm="1">
        <f t="array" ref="K63">PRODUCT(J63:J122+1)^(1/5)-1</f>
        <v>0.12952417227002933</v>
      </c>
      <c r="L63" s="12">
        <f t="shared" si="4"/>
        <v>-1.5560015820815676E-2</v>
      </c>
      <c r="M63" s="13"/>
      <c r="N63" s="13"/>
      <c r="O63" s="13"/>
      <c r="P63" s="13"/>
      <c r="Q63" s="13"/>
      <c r="R63" s="13"/>
      <c r="S63" s="14"/>
      <c r="T63" s="13"/>
      <c r="U63" s="13"/>
    </row>
    <row r="64" spans="1:21" x14ac:dyDescent="0.3">
      <c r="A64" s="2" t="s">
        <v>8</v>
      </c>
      <c r="B64" s="4">
        <v>10719.05</v>
      </c>
      <c r="C64" s="8">
        <v>44162</v>
      </c>
      <c r="D64" s="2">
        <v>40.58</v>
      </c>
      <c r="E64" s="3">
        <v>3.47</v>
      </c>
      <c r="F64" s="4">
        <v>1.31</v>
      </c>
      <c r="G64" s="3">
        <v>16255.62</v>
      </c>
      <c r="H64" s="3">
        <f t="shared" si="0"/>
        <v>264.14613109906355</v>
      </c>
      <c r="I64" s="27">
        <f t="shared" si="1"/>
        <v>400.58206012814196</v>
      </c>
      <c r="J64" s="12">
        <f t="shared" si="2"/>
        <v>9.6756756756756657E-2</v>
      </c>
      <c r="K64" s="12" cm="1">
        <f t="array" ref="K64">PRODUCT(J64:J123+1)^(1/5)-1</f>
        <v>0.11639848139200182</v>
      </c>
      <c r="L64" s="12">
        <f t="shared" si="4"/>
        <v>-1.5045831196255466E-2</v>
      </c>
      <c r="M64" s="12"/>
      <c r="N64" s="12"/>
      <c r="O64" s="12"/>
      <c r="P64" s="12"/>
      <c r="Q64" s="12"/>
      <c r="R64" s="12"/>
      <c r="S64" s="14"/>
      <c r="T64" s="12"/>
      <c r="U64" s="12"/>
    </row>
    <row r="65" spans="1:21" x14ac:dyDescent="0.3">
      <c r="A65" s="5" t="s">
        <v>8</v>
      </c>
      <c r="B65" s="7">
        <v>9581.65</v>
      </c>
      <c r="C65" s="9">
        <v>44134</v>
      </c>
      <c r="D65" s="5">
        <v>37</v>
      </c>
      <c r="E65" s="6">
        <v>3.1</v>
      </c>
      <c r="F65" s="7">
        <v>1.46</v>
      </c>
      <c r="G65" s="6">
        <v>14521.56</v>
      </c>
      <c r="H65" s="6">
        <f t="shared" si="0"/>
        <v>258.96351351351348</v>
      </c>
      <c r="I65" s="27">
        <f t="shared" si="1"/>
        <v>392.47459459459458</v>
      </c>
      <c r="J65" s="12">
        <f t="shared" si="2"/>
        <v>-8.9342850110755712E-2</v>
      </c>
      <c r="K65" s="12" cm="1">
        <f t="array" ref="K65">PRODUCT(J65:J124+1)^(1/5)-1</f>
        <v>9.3454442118453329E-2</v>
      </c>
      <c r="L65" s="12">
        <f t="shared" si="4"/>
        <v>-1.948032255810539E-2</v>
      </c>
      <c r="M65" s="13"/>
      <c r="N65" s="13"/>
      <c r="O65" s="13"/>
      <c r="P65" s="13"/>
      <c r="Q65" s="13"/>
      <c r="R65" s="13"/>
      <c r="S65" s="14"/>
      <c r="T65" s="13"/>
      <c r="U65" s="13"/>
    </row>
    <row r="66" spans="1:21" x14ac:dyDescent="0.3">
      <c r="A66" s="2" t="s">
        <v>8</v>
      </c>
      <c r="B66" s="4">
        <v>9341.75</v>
      </c>
      <c r="C66" s="8">
        <v>44104</v>
      </c>
      <c r="D66" s="2">
        <v>40.630000000000003</v>
      </c>
      <c r="E66" s="3">
        <v>3.01</v>
      </c>
      <c r="F66" s="4">
        <v>1.49</v>
      </c>
      <c r="G66" s="3">
        <v>14139.78</v>
      </c>
      <c r="H66" s="3">
        <f t="shared" ref="H66:H129" si="5">B66/D66</f>
        <v>229.92247108048238</v>
      </c>
      <c r="I66" s="27">
        <f t="shared" ref="I66:I129" si="6">G66/D66</f>
        <v>348.01329067191728</v>
      </c>
      <c r="J66" s="12">
        <f t="shared" si="2"/>
        <v>0.10168112798264639</v>
      </c>
      <c r="K66" s="12" cm="1">
        <f t="array" ref="K66">PRODUCT(J66:J125+1)^(1/5)-1</f>
        <v>0.11392602935878404</v>
      </c>
      <c r="L66" s="12">
        <f t="shared" si="4"/>
        <v>-4.218208245377808E-2</v>
      </c>
      <c r="M66" s="12"/>
      <c r="N66" s="12"/>
      <c r="O66" s="12"/>
      <c r="P66" s="12"/>
      <c r="Q66" s="12"/>
      <c r="R66" s="12"/>
      <c r="S66" s="14"/>
      <c r="T66" s="12"/>
      <c r="U66" s="12"/>
    </row>
    <row r="67" spans="1:21" x14ac:dyDescent="0.3">
      <c r="A67" s="5" t="s">
        <v>8</v>
      </c>
      <c r="B67" s="7">
        <v>9372.0499999999993</v>
      </c>
      <c r="C67" s="9">
        <v>44074</v>
      </c>
      <c r="D67" s="5">
        <v>36.880000000000003</v>
      </c>
      <c r="E67" s="6">
        <v>3.02</v>
      </c>
      <c r="F67" s="7">
        <v>1.41</v>
      </c>
      <c r="G67" s="6">
        <v>14179.34</v>
      </c>
      <c r="H67" s="6">
        <f t="shared" si="5"/>
        <v>254.122830802603</v>
      </c>
      <c r="I67" s="27">
        <f t="shared" si="6"/>
        <v>384.47234273318873</v>
      </c>
      <c r="J67" s="12">
        <f t="shared" ref="J67:J130" si="7">D67/D68-1</f>
        <v>0.12097264437689992</v>
      </c>
      <c r="K67" s="12" cm="1">
        <f t="array" ref="K67">PRODUCT(J67:J126+1)^(1/5)-1</f>
        <v>8.8636075003274417E-2</v>
      </c>
      <c r="L67" s="12">
        <f t="shared" ref="L67:L98" si="8">(H67/H126)^(1/5)-1</f>
        <v>-1.958854977658242E-2</v>
      </c>
      <c r="M67" s="13"/>
      <c r="N67" s="13"/>
      <c r="O67" s="13"/>
      <c r="P67" s="13"/>
      <c r="Q67" s="13"/>
      <c r="R67" s="13"/>
      <c r="S67" s="14"/>
      <c r="T67" s="13"/>
      <c r="U67" s="13"/>
    </row>
    <row r="68" spans="1:21" x14ac:dyDescent="0.3">
      <c r="A68" s="2" t="s">
        <v>8</v>
      </c>
      <c r="B68" s="4">
        <v>9035.75</v>
      </c>
      <c r="C68" s="8">
        <v>44043</v>
      </c>
      <c r="D68" s="2">
        <v>32.9</v>
      </c>
      <c r="E68" s="3">
        <v>2.94</v>
      </c>
      <c r="F68" s="4">
        <v>1.44</v>
      </c>
      <c r="G68" s="3">
        <v>13654.79</v>
      </c>
      <c r="H68" s="3">
        <f t="shared" si="5"/>
        <v>274.64285714285717</v>
      </c>
      <c r="I68" s="27">
        <f t="shared" si="6"/>
        <v>415.0392097264438</v>
      </c>
      <c r="J68" s="12">
        <f t="shared" si="7"/>
        <v>0.12095400340715501</v>
      </c>
      <c r="K68" s="12" cm="1">
        <f t="array" ref="K68">PRODUCT(J68:J127+1)^(1/5)-1</f>
        <v>5.4522205986527128E-2</v>
      </c>
      <c r="L68" s="12">
        <f t="shared" si="8"/>
        <v>-1.3520369140428423E-3</v>
      </c>
      <c r="M68" s="12"/>
      <c r="N68" s="12"/>
      <c r="O68" s="12"/>
      <c r="P68" s="12"/>
      <c r="Q68" s="12"/>
      <c r="R68" s="12"/>
      <c r="S68" s="14"/>
      <c r="T68" s="12"/>
      <c r="U68" s="12"/>
    </row>
    <row r="69" spans="1:21" x14ac:dyDescent="0.3">
      <c r="A69" s="5" t="s">
        <v>8</v>
      </c>
      <c r="B69" s="7">
        <v>8474.7999999999993</v>
      </c>
      <c r="C69" s="9">
        <v>44012</v>
      </c>
      <c r="D69" s="5">
        <v>29.35</v>
      </c>
      <c r="E69" s="6">
        <v>2.82</v>
      </c>
      <c r="F69" s="7">
        <v>1.47</v>
      </c>
      <c r="G69" s="6">
        <v>12783.45</v>
      </c>
      <c r="H69" s="6">
        <f t="shared" si="5"/>
        <v>288.74957410562178</v>
      </c>
      <c r="I69" s="27">
        <f t="shared" si="6"/>
        <v>435.55195911413972</v>
      </c>
      <c r="J69" s="12">
        <f t="shared" si="7"/>
        <v>0.16560762509928528</v>
      </c>
      <c r="K69" s="12" cm="1">
        <f t="array" ref="K69">PRODUCT(J69:J128+1)^(1/5)-1</f>
        <v>3.551939230443879E-2</v>
      </c>
      <c r="L69" s="12">
        <f t="shared" si="8"/>
        <v>4.9865171229048766E-3</v>
      </c>
      <c r="M69" s="13"/>
      <c r="N69" s="13"/>
      <c r="O69" s="13"/>
      <c r="P69" s="13"/>
      <c r="Q69" s="13"/>
      <c r="R69" s="13"/>
      <c r="S69" s="14"/>
      <c r="T69" s="13"/>
      <c r="U69" s="13"/>
    </row>
    <row r="70" spans="1:21" x14ac:dyDescent="0.3">
      <c r="A70" s="2" t="s">
        <v>8</v>
      </c>
      <c r="B70" s="4">
        <v>7822.4</v>
      </c>
      <c r="C70" s="8">
        <v>43980</v>
      </c>
      <c r="D70" s="2">
        <v>25.18</v>
      </c>
      <c r="E70" s="3">
        <v>2.5499999999999998</v>
      </c>
      <c r="F70" s="4">
        <v>1.53</v>
      </c>
      <c r="G70" s="3">
        <v>11793.53</v>
      </c>
      <c r="H70" s="3">
        <f t="shared" si="5"/>
        <v>310.65925337569496</v>
      </c>
      <c r="I70" s="27">
        <f t="shared" si="6"/>
        <v>468.36894360603657</v>
      </c>
      <c r="J70" s="12">
        <f t="shared" si="7"/>
        <v>4.3877143996808865E-3</v>
      </c>
      <c r="K70" s="12" cm="1">
        <f t="array" ref="K70">PRODUCT(J70:J129+1)^(1/5)-1</f>
        <v>6.1483358861118553E-3</v>
      </c>
      <c r="L70" s="12">
        <f t="shared" si="8"/>
        <v>2.1140919293622717E-2</v>
      </c>
      <c r="M70" s="12"/>
      <c r="N70" s="12"/>
      <c r="O70" s="12"/>
      <c r="P70" s="12"/>
      <c r="Q70" s="12"/>
      <c r="R70" s="12"/>
      <c r="S70" s="14"/>
      <c r="T70" s="12"/>
      <c r="U70" s="12"/>
    </row>
    <row r="71" spans="1:21" x14ac:dyDescent="0.3">
      <c r="A71" s="5" t="s">
        <v>8</v>
      </c>
      <c r="B71" s="7">
        <v>8012.9</v>
      </c>
      <c r="C71" s="9">
        <v>43951</v>
      </c>
      <c r="D71" s="5">
        <v>25.07</v>
      </c>
      <c r="E71" s="6">
        <v>2.63</v>
      </c>
      <c r="F71" s="7">
        <v>1.49</v>
      </c>
      <c r="G71" s="6">
        <v>12072.43</v>
      </c>
      <c r="H71" s="6">
        <f t="shared" si="5"/>
        <v>319.62106102911844</v>
      </c>
      <c r="I71" s="27">
        <f t="shared" si="6"/>
        <v>481.54886318308735</v>
      </c>
      <c r="J71" s="12">
        <f t="shared" si="7"/>
        <v>0.14999999999999991</v>
      </c>
      <c r="K71" s="12" cm="1">
        <f t="array" ref="K71">PRODUCT(J71:J130+1)^(1/5)-1</f>
        <v>1.1986894092767209E-2</v>
      </c>
      <c r="L71" s="12">
        <f t="shared" si="8"/>
        <v>2.3189874607689731E-2</v>
      </c>
      <c r="M71" s="13"/>
      <c r="N71" s="13"/>
      <c r="O71" s="13"/>
      <c r="P71" s="13"/>
      <c r="Q71" s="13"/>
      <c r="R71" s="13"/>
      <c r="S71" s="14"/>
      <c r="T71" s="13"/>
      <c r="U71" s="13"/>
    </row>
    <row r="72" spans="1:21" x14ac:dyDescent="0.3">
      <c r="A72" s="2" t="s">
        <v>8</v>
      </c>
      <c r="B72" s="4">
        <v>6996.75</v>
      </c>
      <c r="C72" s="8">
        <v>43921</v>
      </c>
      <c r="D72" s="2">
        <v>21.8</v>
      </c>
      <c r="E72" s="3">
        <v>2.29</v>
      </c>
      <c r="F72" s="4">
        <v>1.71</v>
      </c>
      <c r="G72" s="3">
        <v>10540.43</v>
      </c>
      <c r="H72" s="3">
        <f t="shared" si="5"/>
        <v>320.95183486238528</v>
      </c>
      <c r="I72" s="27">
        <f t="shared" si="6"/>
        <v>483.50596330275226</v>
      </c>
      <c r="J72" s="12">
        <f t="shared" si="7"/>
        <v>-0.25008599931200548</v>
      </c>
      <c r="K72" s="12" cm="1">
        <f t="array" ref="K72">PRODUCT(J72:J131+1)^(1/5)-1</f>
        <v>-2.1479239888830715E-2</v>
      </c>
      <c r="L72" s="12">
        <f t="shared" si="8"/>
        <v>2.3499654920267288E-2</v>
      </c>
      <c r="M72" s="12"/>
      <c r="N72" s="12"/>
      <c r="O72" s="12"/>
      <c r="P72" s="12"/>
      <c r="Q72" s="12"/>
      <c r="R72" s="12"/>
      <c r="S72" s="14"/>
      <c r="T72" s="12"/>
      <c r="U72" s="12"/>
    </row>
    <row r="73" spans="1:21" x14ac:dyDescent="0.3">
      <c r="A73" s="5" t="s">
        <v>8</v>
      </c>
      <c r="B73" s="7">
        <v>9236.0499999999993</v>
      </c>
      <c r="C73" s="9">
        <v>43889</v>
      </c>
      <c r="D73" s="5">
        <v>29.07</v>
      </c>
      <c r="E73" s="6">
        <v>3.01</v>
      </c>
      <c r="F73" s="7">
        <v>1.29</v>
      </c>
      <c r="G73" s="6">
        <v>13875.34</v>
      </c>
      <c r="H73" s="6">
        <f t="shared" si="5"/>
        <v>317.71757825937391</v>
      </c>
      <c r="I73" s="27">
        <f t="shared" si="6"/>
        <v>477.30787753697973</v>
      </c>
      <c r="J73" s="12">
        <f t="shared" si="7"/>
        <v>-3.1322892369210265E-2</v>
      </c>
      <c r="K73" s="12" cm="1">
        <f t="array" ref="K73">PRODUCT(J73:J132+1)^(1/5)-1</f>
        <v>3.1286656910778365E-2</v>
      </c>
      <c r="L73" s="12">
        <f t="shared" si="8"/>
        <v>2.0425829867306344E-2</v>
      </c>
      <c r="M73" s="13"/>
      <c r="N73" s="13"/>
      <c r="O73" s="13"/>
      <c r="P73" s="13"/>
      <c r="Q73" s="13"/>
      <c r="R73" s="13"/>
      <c r="S73" s="14"/>
      <c r="T73" s="13"/>
      <c r="U73" s="13"/>
    </row>
    <row r="74" spans="1:21" x14ac:dyDescent="0.3">
      <c r="A74" s="2" t="s">
        <v>8</v>
      </c>
      <c r="B74" s="4">
        <v>9861.4500000000007</v>
      </c>
      <c r="C74" s="8">
        <v>43861</v>
      </c>
      <c r="D74" s="2">
        <v>30.01</v>
      </c>
      <c r="E74" s="3">
        <v>3.22</v>
      </c>
      <c r="F74" s="4">
        <v>1.21</v>
      </c>
      <c r="G74" s="3">
        <v>14804.57</v>
      </c>
      <c r="H74" s="3">
        <f t="shared" si="5"/>
        <v>328.60546484505164</v>
      </c>
      <c r="I74" s="27">
        <f t="shared" si="6"/>
        <v>493.32122625791402</v>
      </c>
      <c r="J74" s="12">
        <f t="shared" si="7"/>
        <v>-2.6913099870298218E-2</v>
      </c>
      <c r="K74" s="12" cm="1">
        <f t="array" ref="K74">PRODUCT(J74:J133+1)^(1/5)-1</f>
        <v>5.3186995913905966E-2</v>
      </c>
      <c r="L74" s="12">
        <f t="shared" si="8"/>
        <v>2.4951816185948994E-2</v>
      </c>
      <c r="M74" s="12"/>
      <c r="N74" s="12"/>
      <c r="O74" s="12"/>
      <c r="P74" s="12"/>
      <c r="Q74" s="12"/>
      <c r="R74" s="12"/>
      <c r="S74" s="14"/>
      <c r="T74" s="12"/>
      <c r="U74" s="12"/>
    </row>
    <row r="75" spans="1:21" x14ac:dyDescent="0.3">
      <c r="A75" s="5" t="s">
        <v>8</v>
      </c>
      <c r="B75" s="7">
        <v>9872.5499999999993</v>
      </c>
      <c r="C75" s="9">
        <v>43830</v>
      </c>
      <c r="D75" s="5">
        <v>30.84</v>
      </c>
      <c r="E75" s="6">
        <v>3.45</v>
      </c>
      <c r="F75" s="7">
        <v>1.2</v>
      </c>
      <c r="G75" s="6">
        <v>14819.29</v>
      </c>
      <c r="H75" s="6">
        <f t="shared" si="5"/>
        <v>320.1215953307393</v>
      </c>
      <c r="I75" s="27">
        <f t="shared" si="6"/>
        <v>480.52172503242548</v>
      </c>
      <c r="J75" s="12">
        <f t="shared" si="7"/>
        <v>3.3858531679517245E-2</v>
      </c>
      <c r="K75" s="12" cm="1">
        <f t="array" ref="K75">PRODUCT(J75:J134+1)^(1/5)-1</f>
        <v>7.0277527577690568E-2</v>
      </c>
      <c r="L75" s="12">
        <f t="shared" si="8"/>
        <v>6.8084699895527567E-3</v>
      </c>
      <c r="M75" s="13"/>
      <c r="N75" s="13"/>
      <c r="O75" s="13"/>
      <c r="P75" s="13"/>
      <c r="Q75" s="13"/>
      <c r="R75" s="13"/>
      <c r="S75" s="14"/>
      <c r="T75" s="13"/>
      <c r="U75" s="13"/>
    </row>
    <row r="76" spans="1:21" x14ac:dyDescent="0.3">
      <c r="A76" s="2" t="s">
        <v>8</v>
      </c>
      <c r="B76" s="4">
        <v>9813.65</v>
      </c>
      <c r="C76" s="8">
        <v>43798</v>
      </c>
      <c r="D76" s="2">
        <v>29.83</v>
      </c>
      <c r="E76" s="3">
        <v>3.37</v>
      </c>
      <c r="F76" s="4">
        <v>1.21</v>
      </c>
      <c r="G76" s="3">
        <v>14729.77</v>
      </c>
      <c r="H76" s="3">
        <f t="shared" si="5"/>
        <v>328.98592021454914</v>
      </c>
      <c r="I76" s="27">
        <f t="shared" si="6"/>
        <v>493.79047938317137</v>
      </c>
      <c r="J76" s="12">
        <f t="shared" si="7"/>
        <v>1.8784153005464432E-2</v>
      </c>
      <c r="K76" s="12" cm="1">
        <f t="array" ref="K76">PRODUCT(J76:J135+1)^(1/5)-1</f>
        <v>5.9531851433592964E-2</v>
      </c>
      <c r="L76" s="12">
        <f t="shared" si="8"/>
        <v>1.2971855311991742E-2</v>
      </c>
      <c r="M76" s="12"/>
      <c r="N76" s="12"/>
      <c r="O76" s="12"/>
      <c r="P76" s="12"/>
      <c r="Q76" s="12"/>
      <c r="R76" s="12"/>
      <c r="S76" s="14"/>
      <c r="T76" s="12"/>
      <c r="U76" s="12"/>
    </row>
    <row r="77" spans="1:21" x14ac:dyDescent="0.3">
      <c r="A77" s="5" t="s">
        <v>8</v>
      </c>
      <c r="B77" s="7">
        <v>9689.65</v>
      </c>
      <c r="C77" s="9">
        <v>43769</v>
      </c>
      <c r="D77" s="5">
        <v>29.28</v>
      </c>
      <c r="E77" s="6">
        <v>3.32</v>
      </c>
      <c r="F77" s="7">
        <v>1.22</v>
      </c>
      <c r="G77" s="6">
        <v>14539.09</v>
      </c>
      <c r="H77" s="6">
        <f t="shared" si="5"/>
        <v>330.93066939890707</v>
      </c>
      <c r="I77" s="27">
        <f t="shared" si="6"/>
        <v>496.55362021857923</v>
      </c>
      <c r="J77" s="12">
        <f t="shared" si="7"/>
        <v>3.7562012756910068E-2</v>
      </c>
      <c r="K77" s="12" cm="1">
        <f t="array" ref="K77">PRODUCT(J77:J136+1)^(1/5)-1</f>
        <v>5.883838831168231E-2</v>
      </c>
      <c r="L77" s="12">
        <f t="shared" si="8"/>
        <v>1.3368261169314666E-2</v>
      </c>
      <c r="M77" s="13"/>
      <c r="N77" s="13"/>
      <c r="O77" s="13"/>
      <c r="P77" s="13"/>
      <c r="Q77" s="13"/>
      <c r="R77" s="13"/>
      <c r="S77" s="14"/>
      <c r="T77" s="13"/>
      <c r="U77" s="13"/>
    </row>
    <row r="78" spans="1:21" x14ac:dyDescent="0.3">
      <c r="A78" s="2" t="s">
        <v>8</v>
      </c>
      <c r="B78" s="4">
        <v>9340.9</v>
      </c>
      <c r="C78" s="8">
        <v>43738</v>
      </c>
      <c r="D78" s="2">
        <v>28.22</v>
      </c>
      <c r="E78" s="3">
        <v>3.2</v>
      </c>
      <c r="F78" s="4">
        <v>1.27</v>
      </c>
      <c r="G78" s="3">
        <v>13997.16</v>
      </c>
      <c r="H78" s="3">
        <f t="shared" si="5"/>
        <v>331.00283486888731</v>
      </c>
      <c r="I78" s="27">
        <f t="shared" si="6"/>
        <v>496.00141743444368</v>
      </c>
      <c r="J78" s="12">
        <f t="shared" si="7"/>
        <v>-3.3230558410414557E-2</v>
      </c>
      <c r="K78" s="12" cm="1">
        <f t="array" ref="K78">PRODUCT(J78:J137+1)^(1/5)-1</f>
        <v>5.718379501448867E-2</v>
      </c>
      <c r="L78" s="12">
        <f t="shared" si="8"/>
        <v>1.7233964002587143E-2</v>
      </c>
      <c r="M78" s="12"/>
      <c r="N78" s="12"/>
      <c r="O78" s="12"/>
      <c r="P78" s="12"/>
      <c r="Q78" s="12"/>
      <c r="R78" s="12"/>
      <c r="S78" s="14"/>
      <c r="T78" s="12"/>
      <c r="U78" s="12"/>
    </row>
    <row r="79" spans="1:21" x14ac:dyDescent="0.3">
      <c r="A79" s="5" t="s">
        <v>8</v>
      </c>
      <c r="B79" s="7">
        <v>8977.5499999999993</v>
      </c>
      <c r="C79" s="9">
        <v>43707</v>
      </c>
      <c r="D79" s="5">
        <v>29.19</v>
      </c>
      <c r="E79" s="6">
        <v>3.04</v>
      </c>
      <c r="F79" s="7">
        <v>1.33</v>
      </c>
      <c r="G79" s="6">
        <v>13449.3</v>
      </c>
      <c r="H79" s="6">
        <f t="shared" si="5"/>
        <v>307.55566974991433</v>
      </c>
      <c r="I79" s="27">
        <f t="shared" si="6"/>
        <v>460.75025693730726</v>
      </c>
      <c r="J79" s="12">
        <f t="shared" si="7"/>
        <v>-2.0512820512820218E-3</v>
      </c>
      <c r="K79" s="12" cm="1">
        <f t="array" ref="K79">PRODUCT(J79:J138+1)^(1/5)-1</f>
        <v>6.4652641557721768E-2</v>
      </c>
      <c r="L79" s="12">
        <f t="shared" si="8"/>
        <v>4.8398322715974551E-3</v>
      </c>
      <c r="M79" s="13"/>
      <c r="N79" s="13"/>
      <c r="O79" s="13"/>
      <c r="P79" s="13"/>
      <c r="Q79" s="13"/>
      <c r="R79" s="13"/>
      <c r="S79" s="14"/>
      <c r="T79" s="13"/>
      <c r="U79" s="13"/>
    </row>
    <row r="80" spans="1:21" x14ac:dyDescent="0.3">
      <c r="A80" s="2" t="s">
        <v>8</v>
      </c>
      <c r="B80" s="4">
        <v>9044.9500000000007</v>
      </c>
      <c r="C80" s="8">
        <v>43677</v>
      </c>
      <c r="D80" s="2">
        <v>29.25</v>
      </c>
      <c r="E80" s="3">
        <v>3.14</v>
      </c>
      <c r="F80" s="4">
        <v>1.29</v>
      </c>
      <c r="G80" s="3">
        <v>13522.1</v>
      </c>
      <c r="H80" s="3">
        <f t="shared" si="5"/>
        <v>309.22905982905985</v>
      </c>
      <c r="I80" s="27">
        <f t="shared" si="6"/>
        <v>462.29401709401708</v>
      </c>
      <c r="J80" s="12">
        <f t="shared" si="7"/>
        <v>-5.5232558139534871E-2</v>
      </c>
      <c r="K80" s="12" cm="1">
        <f t="array" ref="K80">PRODUCT(J80:J139+1)^(1/5)-1</f>
        <v>6.37970096957583E-2</v>
      </c>
      <c r="L80" s="12">
        <f t="shared" si="8"/>
        <v>7.3798917989418289E-3</v>
      </c>
      <c r="M80" s="12"/>
      <c r="N80" s="12"/>
      <c r="O80" s="12"/>
      <c r="P80" s="12"/>
      <c r="Q80" s="12"/>
      <c r="R80" s="12"/>
      <c r="S80" s="14"/>
      <c r="T80" s="12"/>
      <c r="U80" s="12"/>
    </row>
    <row r="81" spans="1:21" x14ac:dyDescent="0.3">
      <c r="A81" s="5" t="s">
        <v>8</v>
      </c>
      <c r="B81" s="7">
        <v>9657.9500000000007</v>
      </c>
      <c r="C81" s="9">
        <v>43644</v>
      </c>
      <c r="D81" s="5">
        <v>30.96</v>
      </c>
      <c r="E81" s="6">
        <v>3.41</v>
      </c>
      <c r="F81" s="7">
        <v>1.17</v>
      </c>
      <c r="G81" s="6">
        <v>14398.8</v>
      </c>
      <c r="H81" s="6">
        <f t="shared" si="5"/>
        <v>311.94928940568479</v>
      </c>
      <c r="I81" s="27">
        <f t="shared" si="6"/>
        <v>465.07751937984494</v>
      </c>
      <c r="J81" s="12">
        <f t="shared" si="7"/>
        <v>-2.149178255372941E-2</v>
      </c>
      <c r="K81" s="12" cm="1">
        <f t="array" ref="K81">PRODUCT(J81:J140+1)^(1/5)-1</f>
        <v>7.326825107533308E-2</v>
      </c>
      <c r="L81" s="12">
        <f t="shared" si="8"/>
        <v>1.574024158603704E-2</v>
      </c>
      <c r="M81" s="13"/>
      <c r="N81" s="13"/>
      <c r="O81" s="13"/>
      <c r="P81" s="13"/>
      <c r="Q81" s="13"/>
      <c r="R81" s="13"/>
      <c r="S81" s="14"/>
      <c r="T81" s="13"/>
      <c r="U81" s="13"/>
    </row>
    <row r="82" spans="1:21" x14ac:dyDescent="0.3">
      <c r="A82" s="2" t="s">
        <v>8</v>
      </c>
      <c r="B82" s="4">
        <v>9805.0499999999993</v>
      </c>
      <c r="C82" s="8">
        <v>43616</v>
      </c>
      <c r="D82" s="2">
        <v>31.64</v>
      </c>
      <c r="E82" s="3">
        <v>3.52</v>
      </c>
      <c r="F82" s="4">
        <v>1.1399999999999999</v>
      </c>
      <c r="G82" s="3">
        <v>14591.01</v>
      </c>
      <c r="H82" s="3">
        <f t="shared" si="5"/>
        <v>309.89412136536026</v>
      </c>
      <c r="I82" s="27">
        <f t="shared" si="6"/>
        <v>461.15707964601768</v>
      </c>
      <c r="J82" s="12">
        <f t="shared" si="7"/>
        <v>1.3452914798206317E-2</v>
      </c>
      <c r="K82" s="12" cm="1">
        <f t="array" ref="K82">PRODUCT(J82:J141+1)^(1/5)-1</f>
        <v>9.1104053221747749E-2</v>
      </c>
      <c r="L82" s="12">
        <f t="shared" si="8"/>
        <v>1.7603136326212354E-2</v>
      </c>
      <c r="M82" s="12"/>
      <c r="N82" s="12"/>
      <c r="O82" s="12"/>
      <c r="P82" s="12"/>
      <c r="Q82" s="12"/>
      <c r="R82" s="12"/>
      <c r="S82" s="14"/>
      <c r="T82" s="12"/>
      <c r="U82" s="12"/>
    </row>
    <row r="83" spans="1:21" x14ac:dyDescent="0.3">
      <c r="A83" s="5" t="s">
        <v>8</v>
      </c>
      <c r="B83" s="7">
        <v>9664.2999999999993</v>
      </c>
      <c r="C83" s="9">
        <v>43585</v>
      </c>
      <c r="D83" s="5">
        <v>31.22</v>
      </c>
      <c r="E83" s="6">
        <v>3.46</v>
      </c>
      <c r="F83" s="7">
        <v>1.08</v>
      </c>
      <c r="G83" s="6">
        <v>14366.33</v>
      </c>
      <c r="H83" s="6">
        <f t="shared" si="5"/>
        <v>309.55477258167838</v>
      </c>
      <c r="I83" s="27">
        <f t="shared" si="6"/>
        <v>460.16431774503525</v>
      </c>
      <c r="J83" s="12">
        <f t="shared" si="7"/>
        <v>0</v>
      </c>
      <c r="K83" s="12" cm="1">
        <f t="array" ref="K83">PRODUCT(J83:J142+1)^(1/5)-1</f>
        <v>0.10372784844125715</v>
      </c>
      <c r="L83" s="12">
        <f t="shared" si="8"/>
        <v>1.7654501062469352E-2</v>
      </c>
      <c r="M83" s="13"/>
      <c r="N83" s="13"/>
      <c r="O83" s="13"/>
      <c r="P83" s="13"/>
      <c r="Q83" s="13"/>
      <c r="R83" s="13"/>
      <c r="S83" s="14"/>
      <c r="T83" s="13"/>
      <c r="U83" s="13"/>
    </row>
    <row r="84" spans="1:21" x14ac:dyDescent="0.3">
      <c r="A84" s="2" t="s">
        <v>8</v>
      </c>
      <c r="B84" s="4">
        <v>9663.7000000000007</v>
      </c>
      <c r="C84" s="8">
        <v>43553</v>
      </c>
      <c r="D84" s="2">
        <v>31.22</v>
      </c>
      <c r="E84" s="3">
        <v>3.45</v>
      </c>
      <c r="F84" s="4">
        <v>1.08</v>
      </c>
      <c r="G84" s="3">
        <v>14364.59</v>
      </c>
      <c r="H84" s="3">
        <f t="shared" si="5"/>
        <v>309.53555413196671</v>
      </c>
      <c r="I84" s="27">
        <f t="shared" si="6"/>
        <v>460.10858424087127</v>
      </c>
      <c r="J84" s="12">
        <f t="shared" si="7"/>
        <v>6.8080738966814769E-2</v>
      </c>
      <c r="K84" s="12" cm="1">
        <f t="array" ref="K84">PRODUCT(J84:J143+1)^(1/5)-1</f>
        <v>0.10465671813299737</v>
      </c>
      <c r="L84" s="12">
        <f t="shared" si="8"/>
        <v>2.3390544944587477E-2</v>
      </c>
      <c r="M84" s="12"/>
      <c r="N84" s="12"/>
      <c r="O84" s="12"/>
      <c r="P84" s="12"/>
      <c r="Q84" s="12"/>
      <c r="R84" s="12"/>
      <c r="S84" s="14"/>
      <c r="T84" s="12"/>
      <c r="U84" s="12"/>
    </row>
    <row r="85" spans="1:21" x14ac:dyDescent="0.3">
      <c r="A85" s="5" t="s">
        <v>8</v>
      </c>
      <c r="B85" s="7">
        <v>8955.9500000000007</v>
      </c>
      <c r="C85" s="9">
        <v>43524</v>
      </c>
      <c r="D85" s="5">
        <v>29.23</v>
      </c>
      <c r="E85" s="6">
        <v>3.17</v>
      </c>
      <c r="F85" s="7">
        <v>1.17</v>
      </c>
      <c r="G85" s="6">
        <v>13303.2</v>
      </c>
      <c r="H85" s="6">
        <f t="shared" si="5"/>
        <v>306.3958262059528</v>
      </c>
      <c r="I85" s="27">
        <f t="shared" si="6"/>
        <v>455.12145056448855</v>
      </c>
      <c r="J85" s="12">
        <f t="shared" si="7"/>
        <v>3.43288705801581E-3</v>
      </c>
      <c r="K85" s="12" cm="1">
        <f t="array" ref="K85">PRODUCT(J85:J144+1)^(1/5)-1</f>
        <v>0.10268052706194175</v>
      </c>
      <c r="L85" s="12">
        <f t="shared" si="8"/>
        <v>2.1647426213267096E-2</v>
      </c>
      <c r="M85" s="13"/>
      <c r="N85" s="13"/>
      <c r="O85" s="13"/>
      <c r="P85" s="13"/>
      <c r="Q85" s="13"/>
      <c r="R85" s="13"/>
      <c r="S85" s="14"/>
      <c r="T85" s="13"/>
      <c r="U85" s="13"/>
    </row>
    <row r="86" spans="1:21" x14ac:dyDescent="0.3">
      <c r="A86" s="2" t="s">
        <v>8</v>
      </c>
      <c r="B86" s="4">
        <v>9003.85</v>
      </c>
      <c r="C86" s="8">
        <v>43496</v>
      </c>
      <c r="D86" s="2">
        <v>29.13</v>
      </c>
      <c r="E86" s="3">
        <v>3.15</v>
      </c>
      <c r="F86" s="4">
        <v>1.1599999999999999</v>
      </c>
      <c r="G86" s="3">
        <v>13357.8</v>
      </c>
      <c r="H86" s="3">
        <f t="shared" si="5"/>
        <v>309.09200137315486</v>
      </c>
      <c r="I86" s="27">
        <f t="shared" si="6"/>
        <v>458.55818743563339</v>
      </c>
      <c r="J86" s="12">
        <f t="shared" si="7"/>
        <v>-1.6210739614994973E-2</v>
      </c>
      <c r="K86" s="12" cm="1">
        <f t="array" ref="K86">PRODUCT(J86:J145+1)^(1/5)-1</f>
        <v>0.10241732260246383</v>
      </c>
      <c r="L86" s="12">
        <f t="shared" si="8"/>
        <v>2.7056223360993226E-2</v>
      </c>
      <c r="M86" s="12"/>
      <c r="N86" s="12"/>
      <c r="O86" s="12"/>
      <c r="P86" s="12"/>
      <c r="Q86" s="12"/>
      <c r="R86" s="12"/>
      <c r="S86" s="14"/>
      <c r="T86" s="12"/>
      <c r="U86" s="12"/>
    </row>
    <row r="87" spans="1:21" x14ac:dyDescent="0.3">
      <c r="A87" s="5" t="s">
        <v>8</v>
      </c>
      <c r="B87" s="7">
        <v>9170</v>
      </c>
      <c r="C87" s="9">
        <v>43465</v>
      </c>
      <c r="D87" s="5">
        <v>29.61</v>
      </c>
      <c r="E87" s="6">
        <v>3.2</v>
      </c>
      <c r="F87" s="7">
        <v>1.1399999999999999</v>
      </c>
      <c r="G87" s="6">
        <v>13599.13</v>
      </c>
      <c r="H87" s="6">
        <f t="shared" si="5"/>
        <v>309.69267139479905</v>
      </c>
      <c r="I87" s="27">
        <f t="shared" si="6"/>
        <v>459.27490712597091</v>
      </c>
      <c r="J87" s="12">
        <f t="shared" si="7"/>
        <v>0</v>
      </c>
      <c r="K87" s="12" cm="1">
        <f t="array" ref="K87">PRODUCT(J87:J146+1)^(1/5)-1</f>
        <v>9.2905693758661645E-2</v>
      </c>
      <c r="L87" s="12">
        <f t="shared" si="8"/>
        <v>3.3046210498812068E-2</v>
      </c>
      <c r="M87" s="13"/>
      <c r="N87" s="13"/>
      <c r="O87" s="13"/>
      <c r="P87" s="13"/>
      <c r="Q87" s="13"/>
      <c r="R87" s="13"/>
      <c r="S87" s="14"/>
      <c r="T87" s="13"/>
      <c r="U87" s="13"/>
    </row>
    <row r="88" spans="1:21" x14ac:dyDescent="0.3">
      <c r="A88" s="2" t="s">
        <v>8</v>
      </c>
      <c r="B88" s="4">
        <v>9109.15</v>
      </c>
      <c r="C88" s="8">
        <v>43434</v>
      </c>
      <c r="D88" s="2">
        <v>29.61</v>
      </c>
      <c r="E88" s="3">
        <v>3.23</v>
      </c>
      <c r="F88" s="4">
        <v>1.1399999999999999</v>
      </c>
      <c r="G88" s="3">
        <v>13503.06</v>
      </c>
      <c r="H88" s="3">
        <f t="shared" si="5"/>
        <v>307.63762242485649</v>
      </c>
      <c r="I88" s="27">
        <f t="shared" si="6"/>
        <v>456.03039513677811</v>
      </c>
      <c r="J88" s="12">
        <f t="shared" si="7"/>
        <v>2.5277008310249371E-2</v>
      </c>
      <c r="K88" s="12" cm="1">
        <f t="array" ref="K88">PRODUCT(J88:J147+1)^(1/5)-1</f>
        <v>9.9587404097309928E-2</v>
      </c>
      <c r="L88" s="12">
        <f t="shared" si="8"/>
        <v>3.5167977086834279E-2</v>
      </c>
      <c r="M88" s="12"/>
      <c r="N88" s="12"/>
      <c r="O88" s="12"/>
      <c r="P88" s="12"/>
      <c r="Q88" s="12"/>
      <c r="R88" s="12"/>
      <c r="S88" s="14"/>
      <c r="T88" s="12"/>
      <c r="U88" s="12"/>
    </row>
    <row r="89" spans="1:21" x14ac:dyDescent="0.3">
      <c r="A89" s="5" t="s">
        <v>8</v>
      </c>
      <c r="B89" s="7">
        <v>8753.4500000000007</v>
      </c>
      <c r="C89" s="9">
        <v>43404</v>
      </c>
      <c r="D89" s="5">
        <v>28.88</v>
      </c>
      <c r="E89" s="6">
        <v>3.1</v>
      </c>
      <c r="F89" s="7">
        <v>1.19</v>
      </c>
      <c r="G89" s="6">
        <v>12969.63</v>
      </c>
      <c r="H89" s="6">
        <f t="shared" si="5"/>
        <v>303.0972991689751</v>
      </c>
      <c r="I89" s="27">
        <f t="shared" si="6"/>
        <v>449.08691135734068</v>
      </c>
      <c r="J89" s="12">
        <f t="shared" si="7"/>
        <v>-4.4025157232704504E-2</v>
      </c>
      <c r="K89" s="12" cm="1">
        <f t="array" ref="K89">PRODUCT(J89:J148+1)^(1/5)-1</f>
        <v>0.1018769201486347</v>
      </c>
      <c r="L89" s="12">
        <f t="shared" si="8"/>
        <v>3.1974204623397506E-2</v>
      </c>
      <c r="M89" s="13"/>
      <c r="N89" s="13"/>
      <c r="O89" s="13"/>
      <c r="P89" s="13"/>
      <c r="Q89" s="13"/>
      <c r="R89" s="13"/>
      <c r="S89" s="14"/>
      <c r="T89" s="13"/>
      <c r="U89" s="13"/>
    </row>
    <row r="90" spans="1:21" x14ac:dyDescent="0.3">
      <c r="A90" s="2" t="s">
        <v>8</v>
      </c>
      <c r="B90" s="4">
        <v>9116</v>
      </c>
      <c r="C90" s="8">
        <v>43371</v>
      </c>
      <c r="D90" s="2">
        <v>30.21</v>
      </c>
      <c r="E90" s="3">
        <v>3.24</v>
      </c>
      <c r="F90" s="4">
        <v>1.1499999999999999</v>
      </c>
      <c r="G90" s="3">
        <v>13496.26</v>
      </c>
      <c r="H90" s="3">
        <f t="shared" si="5"/>
        <v>301.75438596491227</v>
      </c>
      <c r="I90" s="27">
        <f t="shared" si="6"/>
        <v>446.74809665673615</v>
      </c>
      <c r="J90" s="12">
        <f t="shared" si="7"/>
        <v>-0.12434782608695649</v>
      </c>
      <c r="K90" s="12" cm="1">
        <f t="array" ref="K90">PRODUCT(J90:J149+1)^(1/5)-1</f>
        <v>0.12940519852441201</v>
      </c>
      <c r="L90" s="12">
        <f t="shared" si="8"/>
        <v>2.2306454355029759E-2</v>
      </c>
      <c r="M90" s="12"/>
      <c r="N90" s="12"/>
      <c r="O90" s="12"/>
      <c r="P90" s="12"/>
      <c r="Q90" s="12"/>
      <c r="R90" s="12"/>
      <c r="S90" s="14"/>
      <c r="T90" s="12"/>
      <c r="U90" s="12"/>
    </row>
    <row r="91" spans="1:21" x14ac:dyDescent="0.3">
      <c r="A91" s="5" t="s">
        <v>8</v>
      </c>
      <c r="B91" s="7">
        <v>9992</v>
      </c>
      <c r="C91" s="9">
        <v>43343</v>
      </c>
      <c r="D91" s="5">
        <v>34.5</v>
      </c>
      <c r="E91" s="6">
        <v>3.52</v>
      </c>
      <c r="F91" s="7">
        <v>1.04</v>
      </c>
      <c r="G91" s="6">
        <v>14782.95</v>
      </c>
      <c r="H91" s="6">
        <f t="shared" si="5"/>
        <v>289.62318840579712</v>
      </c>
      <c r="I91" s="27">
        <f t="shared" si="6"/>
        <v>428.49130434782609</v>
      </c>
      <c r="J91" s="12">
        <f t="shared" si="7"/>
        <v>2.7091396248883459E-2</v>
      </c>
      <c r="K91" s="12" cm="1">
        <f t="array" ref="K91">PRODUCT(J91:J150+1)^(1/5)-1</f>
        <v>0.17218077975047041</v>
      </c>
      <c r="L91" s="12">
        <f t="shared" si="8"/>
        <v>1.6280455545489847E-2</v>
      </c>
      <c r="M91" s="13"/>
      <c r="N91" s="13"/>
      <c r="O91" s="13"/>
      <c r="P91" s="13"/>
      <c r="Q91" s="13"/>
      <c r="R91" s="13"/>
      <c r="S91" s="14"/>
      <c r="T91" s="13"/>
      <c r="U91" s="13"/>
    </row>
    <row r="92" spans="1:21" x14ac:dyDescent="0.3">
      <c r="A92" s="2" t="s">
        <v>8</v>
      </c>
      <c r="B92" s="4">
        <v>9650.6</v>
      </c>
      <c r="C92" s="8">
        <v>43312</v>
      </c>
      <c r="D92" s="2">
        <v>33.590000000000003</v>
      </c>
      <c r="E92" s="3">
        <v>3.45</v>
      </c>
      <c r="F92" s="4">
        <v>1.08</v>
      </c>
      <c r="G92" s="3">
        <v>14257.02</v>
      </c>
      <c r="H92" s="3">
        <f t="shared" si="5"/>
        <v>287.30574575766593</v>
      </c>
      <c r="I92" s="27">
        <f t="shared" si="6"/>
        <v>424.44239356951471</v>
      </c>
      <c r="J92" s="12">
        <f t="shared" si="7"/>
        <v>0.10239579914670172</v>
      </c>
      <c r="K92" s="12" cm="1">
        <f t="array" ref="K92">PRODUCT(J92:J151+1)^(1/5)-1</f>
        <v>0.14862997195362881</v>
      </c>
      <c r="L92" s="12">
        <f t="shared" si="8"/>
        <v>1.4119438547437246E-2</v>
      </c>
      <c r="M92" s="12"/>
      <c r="N92" s="12"/>
      <c r="O92" s="12"/>
      <c r="P92" s="12"/>
      <c r="Q92" s="12"/>
      <c r="R92" s="12"/>
      <c r="S92" s="14"/>
      <c r="T92" s="12"/>
      <c r="U92" s="12"/>
    </row>
    <row r="93" spans="1:21" x14ac:dyDescent="0.3">
      <c r="A93" s="5" t="s">
        <v>8</v>
      </c>
      <c r="B93" s="7">
        <v>9162.4500000000007</v>
      </c>
      <c r="C93" s="9">
        <v>43280</v>
      </c>
      <c r="D93" s="5">
        <v>30.47</v>
      </c>
      <c r="E93" s="6">
        <v>3.37</v>
      </c>
      <c r="F93" s="7">
        <v>1.0900000000000001</v>
      </c>
      <c r="G93" s="6">
        <v>13503.29</v>
      </c>
      <c r="H93" s="6">
        <f t="shared" si="5"/>
        <v>300.7039711191336</v>
      </c>
      <c r="I93" s="27">
        <f t="shared" si="6"/>
        <v>443.16672136527734</v>
      </c>
      <c r="J93" s="12">
        <f t="shared" si="7"/>
        <v>-3.5454257676479917E-2</v>
      </c>
      <c r="K93" s="12" cm="1">
        <f t="array" ref="K93">PRODUCT(J93:J152+1)^(1/5)-1</f>
        <v>0.11703728765822952</v>
      </c>
      <c r="L93" s="12">
        <f t="shared" si="8"/>
        <v>2.8967855942396925E-2</v>
      </c>
      <c r="M93" s="13"/>
      <c r="N93" s="13"/>
      <c r="O93" s="13"/>
      <c r="P93" s="13"/>
      <c r="Q93" s="13"/>
      <c r="R93" s="13"/>
      <c r="S93" s="14"/>
      <c r="T93" s="13"/>
      <c r="U93" s="13"/>
    </row>
    <row r="94" spans="1:21" x14ac:dyDescent="0.3">
      <c r="A94" s="2" t="s">
        <v>8</v>
      </c>
      <c r="B94" s="4">
        <v>9315.35</v>
      </c>
      <c r="C94" s="8">
        <v>43251</v>
      </c>
      <c r="D94" s="2">
        <v>31.59</v>
      </c>
      <c r="E94" s="3">
        <v>3.49</v>
      </c>
      <c r="F94" s="4">
        <v>1.08</v>
      </c>
      <c r="G94" s="3">
        <v>13705.62</v>
      </c>
      <c r="H94" s="3">
        <f t="shared" si="5"/>
        <v>294.8828743273188</v>
      </c>
      <c r="I94" s="27">
        <f t="shared" si="6"/>
        <v>433.85944919278256</v>
      </c>
      <c r="J94" s="12">
        <f t="shared" si="7"/>
        <v>7.3341836734694965E-3</v>
      </c>
      <c r="K94" s="12" cm="1">
        <f t="array" ref="K94">PRODUCT(J94:J153+1)^(1/5)-1</f>
        <v>0.12131694529164561</v>
      </c>
      <c r="L94" s="12">
        <f t="shared" si="8"/>
        <v>2.7505347279991987E-2</v>
      </c>
      <c r="M94" s="12"/>
      <c r="N94" s="12"/>
      <c r="O94" s="12"/>
      <c r="P94" s="12"/>
      <c r="Q94" s="12"/>
      <c r="R94" s="12"/>
      <c r="S94" s="14"/>
      <c r="T94" s="12"/>
      <c r="U94" s="12"/>
    </row>
    <row r="95" spans="1:21" x14ac:dyDescent="0.3">
      <c r="A95" s="5" t="s">
        <v>8</v>
      </c>
      <c r="B95" s="7">
        <v>9496.5</v>
      </c>
      <c r="C95" s="9">
        <v>43220</v>
      </c>
      <c r="D95" s="5">
        <v>31.36</v>
      </c>
      <c r="E95" s="6">
        <v>3.56</v>
      </c>
      <c r="F95" s="7">
        <v>1.04</v>
      </c>
      <c r="G95" s="6">
        <v>13950.42</v>
      </c>
      <c r="H95" s="6">
        <f t="shared" si="5"/>
        <v>302.8220663265306</v>
      </c>
      <c r="I95" s="27">
        <f t="shared" si="6"/>
        <v>444.84757653061223</v>
      </c>
      <c r="J95" s="12">
        <f t="shared" si="7"/>
        <v>5.7672849915682889E-2</v>
      </c>
      <c r="K95" s="12" cm="1">
        <f t="array" ref="K95">PRODUCT(J95:J154+1)^(1/5)-1</f>
        <v>0.12220973025694848</v>
      </c>
      <c r="L95" s="12">
        <f t="shared" si="8"/>
        <v>2.8828451388732912E-2</v>
      </c>
      <c r="M95" s="13"/>
      <c r="N95" s="13"/>
      <c r="O95" s="13"/>
      <c r="P95" s="13"/>
      <c r="Q95" s="13"/>
      <c r="R95" s="13"/>
      <c r="S95" s="14"/>
      <c r="T95" s="13"/>
      <c r="U95" s="13"/>
    </row>
    <row r="96" spans="1:21" x14ac:dyDescent="0.3">
      <c r="A96" s="2" t="s">
        <v>8</v>
      </c>
      <c r="B96" s="4">
        <v>8912.1</v>
      </c>
      <c r="C96" s="8">
        <v>43187</v>
      </c>
      <c r="D96" s="2">
        <v>29.65</v>
      </c>
      <c r="E96" s="3">
        <v>3.27</v>
      </c>
      <c r="F96" s="4">
        <v>1.1200000000000001</v>
      </c>
      <c r="G96" s="3">
        <v>13090.98</v>
      </c>
      <c r="H96" s="3">
        <f t="shared" si="5"/>
        <v>300.57672849915684</v>
      </c>
      <c r="I96" s="27">
        <f t="shared" si="6"/>
        <v>441.5170320404722</v>
      </c>
      <c r="J96" s="12">
        <f t="shared" si="7"/>
        <v>-3.5772357723577231E-2</v>
      </c>
      <c r="K96" s="12" cm="1">
        <f t="array" ref="K96">PRODUCT(J96:J155+1)^(1/5)-1</f>
        <v>0.11649434311654461</v>
      </c>
      <c r="L96" s="12">
        <f t="shared" si="8"/>
        <v>2.672917349800219E-2</v>
      </c>
      <c r="M96" s="12"/>
      <c r="N96" s="12"/>
      <c r="O96" s="12"/>
      <c r="P96" s="12"/>
      <c r="Q96" s="12"/>
      <c r="R96" s="12"/>
      <c r="S96" s="14"/>
      <c r="T96" s="12"/>
      <c r="U96" s="12"/>
    </row>
    <row r="97" spans="1:21" x14ac:dyDescent="0.3">
      <c r="A97" s="5" t="s">
        <v>8</v>
      </c>
      <c r="B97" s="7">
        <v>9261.9</v>
      </c>
      <c r="C97" s="9">
        <v>43159</v>
      </c>
      <c r="D97" s="5">
        <v>30.75</v>
      </c>
      <c r="E97" s="6">
        <v>3.39</v>
      </c>
      <c r="F97" s="7">
        <v>0.97</v>
      </c>
      <c r="G97" s="6">
        <v>13585.49</v>
      </c>
      <c r="H97" s="6">
        <f t="shared" si="5"/>
        <v>301.2</v>
      </c>
      <c r="I97" s="27">
        <f t="shared" si="6"/>
        <v>441.80455284552846</v>
      </c>
      <c r="J97" s="12">
        <f t="shared" si="7"/>
        <v>-4.9752781211372055E-2</v>
      </c>
      <c r="K97" s="12" cm="1">
        <f t="array" ref="K97">PRODUCT(J97:J156+1)^(1/5)-1</f>
        <v>0.12308557703908818</v>
      </c>
      <c r="L97" s="12">
        <f t="shared" si="8"/>
        <v>3.0089823440913266E-2</v>
      </c>
      <c r="M97" s="13"/>
      <c r="N97" s="13"/>
      <c r="O97" s="13"/>
      <c r="P97" s="13"/>
      <c r="Q97" s="13"/>
      <c r="R97" s="13"/>
      <c r="S97" s="14"/>
      <c r="T97" s="13"/>
      <c r="U97" s="13"/>
    </row>
    <row r="98" spans="1:21" x14ac:dyDescent="0.3">
      <c r="A98" s="2" t="s">
        <v>8</v>
      </c>
      <c r="B98" s="4">
        <v>9697.9</v>
      </c>
      <c r="C98" s="8">
        <v>43131</v>
      </c>
      <c r="D98" s="2">
        <v>32.36</v>
      </c>
      <c r="E98" s="3">
        <v>3.54</v>
      </c>
      <c r="F98" s="4">
        <v>0.89</v>
      </c>
      <c r="G98" s="3">
        <v>14203.09</v>
      </c>
      <c r="H98" s="3">
        <f t="shared" si="5"/>
        <v>299.6878862793572</v>
      </c>
      <c r="I98" s="27">
        <f t="shared" si="6"/>
        <v>438.90883807169348</v>
      </c>
      <c r="J98" s="12">
        <f t="shared" si="7"/>
        <v>-5.8371735791089563E-3</v>
      </c>
      <c r="K98" s="12" cm="1">
        <f t="array" ref="K98">PRODUCT(J98:J157+1)^(1/5)-1</f>
        <v>0.12384459527627034</v>
      </c>
      <c r="L98" s="12">
        <f t="shared" si="8"/>
        <v>2.8686150608795424E-2</v>
      </c>
      <c r="M98" s="12"/>
      <c r="N98" s="12"/>
      <c r="O98" s="12"/>
      <c r="P98" s="12"/>
      <c r="Q98" s="12"/>
      <c r="R98" s="12"/>
      <c r="S98" s="14"/>
      <c r="T98" s="12"/>
      <c r="U98" s="12"/>
    </row>
    <row r="99" spans="1:21" x14ac:dyDescent="0.3">
      <c r="A99" s="5" t="s">
        <v>8</v>
      </c>
      <c r="B99" s="7">
        <v>9490.65</v>
      </c>
      <c r="C99" s="9">
        <v>43098</v>
      </c>
      <c r="D99" s="5">
        <v>32.549999999999997</v>
      </c>
      <c r="E99" s="6">
        <v>3.46</v>
      </c>
      <c r="F99" s="7">
        <v>0.91</v>
      </c>
      <c r="G99" s="6">
        <v>13896.02</v>
      </c>
      <c r="H99" s="6">
        <f t="shared" si="5"/>
        <v>291.57142857142861</v>
      </c>
      <c r="I99" s="27">
        <f t="shared" si="6"/>
        <v>426.91305683563752</v>
      </c>
      <c r="J99" s="12">
        <f t="shared" si="7"/>
        <v>3.5305343511450316E-2</v>
      </c>
      <c r="K99" s="12" cm="1">
        <f t="array" ref="K99">PRODUCT(J99:J158+1)^(1/5)-1</f>
        <v>0.12048263813908977</v>
      </c>
      <c r="L99" s="12">
        <f t="shared" ref="L99:L130" si="9">(H99/H158)^(1/5)-1</f>
        <v>1.8782034106403112E-2</v>
      </c>
      <c r="M99" s="13"/>
      <c r="N99" s="13"/>
      <c r="O99" s="13"/>
      <c r="P99" s="13"/>
      <c r="Q99" s="13"/>
      <c r="R99" s="13"/>
      <c r="S99" s="14"/>
      <c r="T99" s="13"/>
      <c r="U99" s="13"/>
    </row>
    <row r="100" spans="1:21" x14ac:dyDescent="0.3">
      <c r="A100" s="2" t="s">
        <v>8</v>
      </c>
      <c r="B100" s="4">
        <v>9154.5</v>
      </c>
      <c r="C100" s="8">
        <v>43069</v>
      </c>
      <c r="D100" s="2">
        <v>31.44</v>
      </c>
      <c r="E100" s="3">
        <v>3.33</v>
      </c>
      <c r="F100" s="4">
        <v>0.95</v>
      </c>
      <c r="G100" s="3">
        <v>13403.72</v>
      </c>
      <c r="H100" s="3">
        <f t="shared" si="5"/>
        <v>291.17366412213738</v>
      </c>
      <c r="I100" s="27">
        <f t="shared" si="6"/>
        <v>426.32697201017805</v>
      </c>
      <c r="J100" s="12">
        <f t="shared" si="7"/>
        <v>1.2560386473430052E-2</v>
      </c>
      <c r="K100" s="12" cm="1">
        <f t="array" ref="K100">PRODUCT(J100:J159+1)^(1/5)-1</f>
        <v>0.11602349753636165</v>
      </c>
      <c r="L100" s="12">
        <f t="shared" si="9"/>
        <v>2.4982899818386306E-2</v>
      </c>
      <c r="M100" s="12"/>
      <c r="N100" s="12"/>
      <c r="O100" s="12"/>
      <c r="P100" s="12"/>
      <c r="Q100" s="12"/>
      <c r="R100" s="12"/>
      <c r="S100" s="14"/>
      <c r="T100" s="12"/>
      <c r="U100" s="12"/>
    </row>
    <row r="101" spans="1:21" x14ac:dyDescent="0.3">
      <c r="A101" s="5" t="s">
        <v>8</v>
      </c>
      <c r="B101" s="7">
        <v>9153.6</v>
      </c>
      <c r="C101" s="9">
        <v>43039</v>
      </c>
      <c r="D101" s="5">
        <v>31.05</v>
      </c>
      <c r="E101" s="6">
        <v>3.34</v>
      </c>
      <c r="F101" s="7">
        <v>0.94</v>
      </c>
      <c r="G101" s="6">
        <v>13394.75</v>
      </c>
      <c r="H101" s="6">
        <f t="shared" si="5"/>
        <v>294.80193236714979</v>
      </c>
      <c r="I101" s="27">
        <f t="shared" si="6"/>
        <v>431.3929146537842</v>
      </c>
      <c r="J101" s="12">
        <f t="shared" si="7"/>
        <v>4.9695740365111707E-2</v>
      </c>
      <c r="K101" s="12" cm="1">
        <f t="array" ref="K101">PRODUCT(J101:J160+1)^(1/5)-1</f>
        <v>0.10923850969284521</v>
      </c>
      <c r="L101" s="12">
        <f t="shared" si="9"/>
        <v>2.7467908621981563E-2</v>
      </c>
      <c r="M101" s="13"/>
      <c r="N101" s="13"/>
      <c r="O101" s="13"/>
      <c r="P101" s="13"/>
      <c r="Q101" s="13"/>
      <c r="R101" s="13"/>
      <c r="S101" s="14"/>
      <c r="T101" s="13"/>
      <c r="U101" s="13"/>
    </row>
    <row r="102" spans="1:21" x14ac:dyDescent="0.3">
      <c r="A102" s="2" t="s">
        <v>8</v>
      </c>
      <c r="B102" s="4">
        <v>8600</v>
      </c>
      <c r="C102" s="8">
        <v>43007</v>
      </c>
      <c r="D102" s="2">
        <v>29.58</v>
      </c>
      <c r="E102" s="3">
        <v>3.18</v>
      </c>
      <c r="F102" s="4">
        <v>1.03</v>
      </c>
      <c r="G102" s="3">
        <v>12577.95</v>
      </c>
      <c r="H102" s="3">
        <f t="shared" si="5"/>
        <v>290.736984448952</v>
      </c>
      <c r="I102" s="27">
        <f t="shared" si="6"/>
        <v>425.21805273833678</v>
      </c>
      <c r="J102" s="12">
        <f t="shared" si="7"/>
        <v>-1.6874789065136619E-3</v>
      </c>
      <c r="K102" s="12" cm="1">
        <f t="array" ref="K102">PRODUCT(J102:J161+1)^(1/5)-1</f>
        <v>8.9151194539133671E-2</v>
      </c>
      <c r="L102" s="12">
        <f t="shared" si="9"/>
        <v>3.8575051761176482E-2</v>
      </c>
      <c r="M102" s="12"/>
      <c r="N102" s="12"/>
      <c r="O102" s="12"/>
      <c r="P102" s="12"/>
      <c r="Q102" s="12"/>
      <c r="R102" s="12"/>
      <c r="S102" s="14"/>
      <c r="T102" s="12"/>
      <c r="U102" s="12"/>
    </row>
    <row r="103" spans="1:21" x14ac:dyDescent="0.3">
      <c r="A103" s="5" t="s">
        <v>8</v>
      </c>
      <c r="B103" s="7">
        <v>8694.9500000000007</v>
      </c>
      <c r="C103" s="9">
        <v>42978</v>
      </c>
      <c r="D103" s="5">
        <v>29.63</v>
      </c>
      <c r="E103" s="6">
        <v>3.32</v>
      </c>
      <c r="F103" s="7">
        <v>0.89</v>
      </c>
      <c r="G103" s="6">
        <v>12707.41</v>
      </c>
      <c r="H103" s="6">
        <f t="shared" si="5"/>
        <v>293.45089436382051</v>
      </c>
      <c r="I103" s="27">
        <f t="shared" si="6"/>
        <v>428.86972662841714</v>
      </c>
      <c r="J103" s="12">
        <f t="shared" si="7"/>
        <v>1.022843504943749E-2</v>
      </c>
      <c r="K103" s="12" cm="1">
        <f t="array" ref="K103">PRODUCT(J103:J162+1)^(1/5)-1</f>
        <v>0.10667139923904267</v>
      </c>
      <c r="L103" s="12">
        <f t="shared" si="9"/>
        <v>4.6868479037133426E-2</v>
      </c>
      <c r="M103" s="13"/>
      <c r="N103" s="13"/>
      <c r="O103" s="13"/>
      <c r="P103" s="13"/>
      <c r="Q103" s="13"/>
      <c r="R103" s="13"/>
      <c r="S103" s="14"/>
      <c r="T103" s="13"/>
      <c r="U103" s="13"/>
    </row>
    <row r="104" spans="1:21" x14ac:dyDescent="0.3">
      <c r="A104" s="2" t="s">
        <v>8</v>
      </c>
      <c r="B104" s="4">
        <v>8793.2999999999993</v>
      </c>
      <c r="C104" s="8">
        <v>42947</v>
      </c>
      <c r="D104" s="2">
        <v>29.33</v>
      </c>
      <c r="E104" s="3">
        <v>3.35</v>
      </c>
      <c r="F104" s="4">
        <v>0.91</v>
      </c>
      <c r="G104" s="3">
        <v>12837.04</v>
      </c>
      <c r="H104" s="3">
        <f t="shared" si="5"/>
        <v>299.80565973406067</v>
      </c>
      <c r="I104" s="27">
        <f t="shared" si="6"/>
        <v>437.67609955676789</v>
      </c>
      <c r="J104" s="12">
        <f t="shared" si="7"/>
        <v>5.8080808080807955E-2</v>
      </c>
      <c r="K104" s="12" cm="1">
        <f t="array" ref="K104">PRODUCT(J104:J163+1)^(1/5)-1</f>
        <v>0.11603992538422836</v>
      </c>
      <c r="L104" s="12">
        <f t="shared" si="9"/>
        <v>5.3192365653599527E-2</v>
      </c>
      <c r="M104" s="12"/>
      <c r="N104" s="12"/>
      <c r="O104" s="12"/>
      <c r="P104" s="12"/>
      <c r="Q104" s="12"/>
      <c r="R104" s="12"/>
      <c r="S104" s="14"/>
      <c r="T104" s="12"/>
      <c r="U104" s="12"/>
    </row>
    <row r="105" spans="1:21" x14ac:dyDescent="0.3">
      <c r="A105" s="5" t="s">
        <v>8</v>
      </c>
      <c r="B105" s="7">
        <v>8331.6</v>
      </c>
      <c r="C105" s="9">
        <v>42916</v>
      </c>
      <c r="D105" s="5">
        <v>27.72</v>
      </c>
      <c r="E105" s="6">
        <v>3.32</v>
      </c>
      <c r="F105" s="7">
        <v>1.04</v>
      </c>
      <c r="G105" s="6">
        <v>12132.6</v>
      </c>
      <c r="H105" s="6">
        <f t="shared" si="5"/>
        <v>300.5627705627706</v>
      </c>
      <c r="I105" s="27">
        <f t="shared" si="6"/>
        <v>437.68398268398272</v>
      </c>
      <c r="J105" s="12">
        <f t="shared" si="7"/>
        <v>-7.1633237822350537E-3</v>
      </c>
      <c r="K105" s="12" cm="1">
        <f t="array" ref="K105">PRODUCT(J105:J164+1)^(1/5)-1</f>
        <v>9.748575250237157E-2</v>
      </c>
      <c r="L105" s="12">
        <f t="shared" si="9"/>
        <v>4.292817652901415E-2</v>
      </c>
      <c r="M105" s="13"/>
      <c r="N105" s="13"/>
      <c r="O105" s="13"/>
      <c r="P105" s="13"/>
      <c r="Q105" s="13"/>
      <c r="R105" s="13"/>
      <c r="S105" s="14"/>
      <c r="T105" s="13"/>
      <c r="U105" s="13"/>
    </row>
    <row r="106" spans="1:21" x14ac:dyDescent="0.3">
      <c r="A106" s="2" t="s">
        <v>8</v>
      </c>
      <c r="B106" s="4">
        <v>8350.9500000000007</v>
      </c>
      <c r="C106" s="8">
        <v>42886</v>
      </c>
      <c r="D106" s="2">
        <v>27.92</v>
      </c>
      <c r="E106" s="3">
        <v>3.38</v>
      </c>
      <c r="F106" s="4">
        <v>1.1000000000000001</v>
      </c>
      <c r="G106" s="3">
        <v>12126.76</v>
      </c>
      <c r="H106" s="3">
        <f t="shared" si="5"/>
        <v>299.10279369627506</v>
      </c>
      <c r="I106" s="27">
        <f t="shared" si="6"/>
        <v>434.33954154727792</v>
      </c>
      <c r="J106" s="12">
        <f t="shared" si="7"/>
        <v>1.1960855382384894E-2</v>
      </c>
      <c r="K106" s="12" cm="1">
        <f t="array" ref="K106">PRODUCT(J106:J165+1)^(1/5)-1</f>
        <v>0.10693272364392992</v>
      </c>
      <c r="L106" s="12">
        <f t="shared" si="9"/>
        <v>4.5401452121318631E-2</v>
      </c>
      <c r="M106" s="12"/>
      <c r="N106" s="12"/>
      <c r="O106" s="12"/>
      <c r="P106" s="12"/>
      <c r="Q106" s="12"/>
      <c r="R106" s="12"/>
      <c r="S106" s="14"/>
      <c r="T106" s="12"/>
      <c r="U106" s="12"/>
    </row>
    <row r="107" spans="1:21" x14ac:dyDescent="0.3">
      <c r="A107" s="5" t="s">
        <v>8</v>
      </c>
      <c r="B107" s="7">
        <v>8214.2999999999993</v>
      </c>
      <c r="C107" s="9">
        <v>42853</v>
      </c>
      <c r="D107" s="5">
        <v>27.59</v>
      </c>
      <c r="E107" s="6">
        <v>3.34</v>
      </c>
      <c r="F107" s="7">
        <v>1.1299999999999999</v>
      </c>
      <c r="G107" s="6">
        <v>11922.34</v>
      </c>
      <c r="H107" s="6">
        <f t="shared" si="5"/>
        <v>297.72743747734683</v>
      </c>
      <c r="I107" s="27">
        <f t="shared" si="6"/>
        <v>432.1254077564335</v>
      </c>
      <c r="J107" s="12">
        <f t="shared" si="7"/>
        <v>2.8709917971663002E-2</v>
      </c>
      <c r="K107" s="12" cm="1">
        <f t="array" ref="K107">PRODUCT(J107:J166+1)^(1/5)-1</f>
        <v>8.9049443745165435E-2</v>
      </c>
      <c r="L107" s="12">
        <f t="shared" si="9"/>
        <v>5.0322209197506185E-2</v>
      </c>
      <c r="M107" s="13"/>
      <c r="N107" s="13"/>
      <c r="O107" s="13"/>
      <c r="P107" s="13"/>
      <c r="Q107" s="13"/>
      <c r="R107" s="13"/>
      <c r="S107" s="14"/>
      <c r="T107" s="13"/>
      <c r="U107" s="13"/>
    </row>
    <row r="108" spans="1:21" x14ac:dyDescent="0.3">
      <c r="A108" s="2" t="s">
        <v>8</v>
      </c>
      <c r="B108" s="4">
        <v>7995.05</v>
      </c>
      <c r="C108" s="8">
        <v>42825</v>
      </c>
      <c r="D108" s="2">
        <v>26.82</v>
      </c>
      <c r="E108" s="3">
        <v>3.25</v>
      </c>
      <c r="F108" s="4">
        <v>1.1599999999999999</v>
      </c>
      <c r="G108" s="3">
        <v>11598.65</v>
      </c>
      <c r="H108" s="3">
        <f t="shared" si="5"/>
        <v>298.10029828486205</v>
      </c>
      <c r="I108" s="27">
        <f t="shared" si="6"/>
        <v>432.46271439224455</v>
      </c>
      <c r="J108" s="12">
        <f t="shared" si="7"/>
        <v>9.4091080165599195E-3</v>
      </c>
      <c r="K108" s="12" cm="1">
        <f t="array" ref="K108">PRODUCT(J108:J167+1)^(1/5)-1</f>
        <v>7.8976257868652366E-2</v>
      </c>
      <c r="L108" s="12">
        <f t="shared" si="9"/>
        <v>5.1415224955849048E-2</v>
      </c>
      <c r="M108" s="12"/>
      <c r="N108" s="12"/>
      <c r="O108" s="12"/>
      <c r="P108" s="12"/>
      <c r="Q108" s="12"/>
      <c r="R108" s="12"/>
      <c r="S108" s="14"/>
      <c r="T108" s="12"/>
      <c r="U108" s="12"/>
    </row>
    <row r="109" spans="1:21" x14ac:dyDescent="0.3">
      <c r="A109" s="5" t="s">
        <v>8</v>
      </c>
      <c r="B109" s="7">
        <v>7709.1</v>
      </c>
      <c r="C109" s="9">
        <v>42794</v>
      </c>
      <c r="D109" s="5">
        <v>26.57</v>
      </c>
      <c r="E109" s="6">
        <v>3.11</v>
      </c>
      <c r="F109" s="7">
        <v>1.2</v>
      </c>
      <c r="G109" s="6">
        <v>11163.37</v>
      </c>
      <c r="H109" s="6">
        <f t="shared" si="5"/>
        <v>290.14301844185172</v>
      </c>
      <c r="I109" s="27">
        <f t="shared" si="6"/>
        <v>420.149416635303</v>
      </c>
      <c r="J109" s="12">
        <f t="shared" si="7"/>
        <v>0</v>
      </c>
      <c r="K109" s="12" cm="1">
        <f t="array" ref="K109">PRODUCT(J109:J168+1)^(1/5)-1</f>
        <v>7.4044889327634866E-2</v>
      </c>
      <c r="L109" s="12">
        <f t="shared" si="9"/>
        <v>4.7376342558451467E-2</v>
      </c>
      <c r="M109" s="13"/>
      <c r="N109" s="13"/>
      <c r="O109" s="13"/>
      <c r="P109" s="13"/>
      <c r="Q109" s="13"/>
      <c r="R109" s="13"/>
      <c r="S109" s="14"/>
      <c r="T109" s="13"/>
      <c r="U109" s="13"/>
    </row>
    <row r="110" spans="1:21" x14ac:dyDescent="0.3">
      <c r="A110" s="2" t="s">
        <v>8</v>
      </c>
      <c r="B110" s="4">
        <v>7379.3</v>
      </c>
      <c r="C110" s="8">
        <v>42766</v>
      </c>
      <c r="D110" s="2">
        <v>26.57</v>
      </c>
      <c r="E110" s="3">
        <v>2.98</v>
      </c>
      <c r="F110" s="4">
        <v>1.24</v>
      </c>
      <c r="G110" s="3">
        <v>10670.2</v>
      </c>
      <c r="H110" s="3">
        <f t="shared" si="5"/>
        <v>277.73052314640574</v>
      </c>
      <c r="I110" s="27">
        <f t="shared" si="6"/>
        <v>401.58825743319534</v>
      </c>
      <c r="J110" s="12">
        <f t="shared" si="7"/>
        <v>5.0197628458497956E-2</v>
      </c>
      <c r="K110" s="12" cm="1">
        <f t="array" ref="K110">PRODUCT(J110:J169+1)^(1/5)-1</f>
        <v>8.5741504061126461E-2</v>
      </c>
      <c r="L110" s="12">
        <f t="shared" si="9"/>
        <v>3.8441898458563939E-2</v>
      </c>
      <c r="M110" s="12"/>
      <c r="N110" s="12"/>
      <c r="O110" s="12"/>
      <c r="P110" s="12"/>
      <c r="Q110" s="12"/>
      <c r="R110" s="12"/>
      <c r="S110" s="14"/>
      <c r="T110" s="12"/>
      <c r="U110" s="12"/>
    </row>
    <row r="111" spans="1:21" x14ac:dyDescent="0.3">
      <c r="A111" s="5" t="s">
        <v>8</v>
      </c>
      <c r="B111" s="7">
        <v>6982.8</v>
      </c>
      <c r="C111" s="9">
        <v>42734</v>
      </c>
      <c r="D111" s="5">
        <v>25.3</v>
      </c>
      <c r="E111" s="6">
        <v>2.82</v>
      </c>
      <c r="F111" s="7">
        <v>1.32</v>
      </c>
      <c r="G111" s="6">
        <v>10094.85</v>
      </c>
      <c r="H111" s="6">
        <f t="shared" si="5"/>
        <v>276</v>
      </c>
      <c r="I111" s="27">
        <f t="shared" si="6"/>
        <v>399.00592885375494</v>
      </c>
      <c r="J111" s="12">
        <f t="shared" si="7"/>
        <v>8.3698684734954121E-3</v>
      </c>
      <c r="K111" s="12" cm="1">
        <f t="array" ref="K111">PRODUCT(J111:J170+1)^(1/5)-1</f>
        <v>0.10125501289715255</v>
      </c>
      <c r="L111" s="12">
        <f t="shared" si="9"/>
        <v>3.547830153316589E-2</v>
      </c>
      <c r="M111" s="13"/>
      <c r="N111" s="13"/>
      <c r="O111" s="13"/>
      <c r="P111" s="13"/>
      <c r="Q111" s="13"/>
      <c r="R111" s="13"/>
      <c r="S111" s="14"/>
      <c r="T111" s="13"/>
      <c r="U111" s="13"/>
    </row>
    <row r="112" spans="1:21" x14ac:dyDescent="0.3">
      <c r="A112" s="2" t="s">
        <v>8</v>
      </c>
      <c r="B112" s="4">
        <v>7079.4</v>
      </c>
      <c r="C112" s="8">
        <v>42704</v>
      </c>
      <c r="D112" s="2">
        <v>25.09</v>
      </c>
      <c r="E112" s="3">
        <v>2.86</v>
      </c>
      <c r="F112" s="4">
        <v>1.29</v>
      </c>
      <c r="G112" s="3">
        <v>10234.36</v>
      </c>
      <c r="H112" s="3">
        <f t="shared" si="5"/>
        <v>282.16022319649261</v>
      </c>
      <c r="I112" s="27">
        <f t="shared" si="6"/>
        <v>407.90593862096455</v>
      </c>
      <c r="J112" s="12">
        <f t="shared" si="7"/>
        <v>-8.9952847297787519E-2</v>
      </c>
      <c r="K112" s="12" cm="1">
        <f t="array" ref="K112">PRODUCT(J112:J171+1)^(1/5)-1</f>
        <v>8.6908615422592428E-2</v>
      </c>
      <c r="L112" s="12">
        <f t="shared" si="9"/>
        <v>4.1427802331894803E-2</v>
      </c>
      <c r="M112" s="12"/>
      <c r="N112" s="12"/>
      <c r="O112" s="12"/>
      <c r="P112" s="12"/>
      <c r="Q112" s="12"/>
      <c r="R112" s="12"/>
      <c r="S112" s="14"/>
      <c r="T112" s="12"/>
      <c r="U112" s="12"/>
    </row>
    <row r="113" spans="1:21" x14ac:dyDescent="0.3">
      <c r="A113" s="5" t="s">
        <v>8</v>
      </c>
      <c r="B113" s="7">
        <v>7501.45</v>
      </c>
      <c r="C113" s="9">
        <v>42673</v>
      </c>
      <c r="D113" s="5">
        <v>27.57</v>
      </c>
      <c r="E113" s="6">
        <v>3</v>
      </c>
      <c r="F113" s="7">
        <v>1.22</v>
      </c>
      <c r="G113" s="6">
        <v>10838.16</v>
      </c>
      <c r="H113" s="6">
        <f t="shared" si="5"/>
        <v>272.08741385564019</v>
      </c>
      <c r="I113" s="27">
        <f t="shared" si="6"/>
        <v>393.11425462459192</v>
      </c>
      <c r="J113" s="12">
        <f t="shared" si="7"/>
        <v>2.9101491451437589E-3</v>
      </c>
      <c r="K113" s="12" cm="1">
        <f t="array" ref="K113">PRODUCT(J113:J172+1)^(1/5)-1</f>
        <v>9.819432453183552E-2</v>
      </c>
      <c r="L113" s="12">
        <f t="shared" si="9"/>
        <v>3.3797087071968157E-2</v>
      </c>
      <c r="M113" s="13"/>
      <c r="N113" s="13"/>
      <c r="O113" s="13"/>
      <c r="P113" s="13"/>
      <c r="Q113" s="13"/>
      <c r="R113" s="13"/>
      <c r="S113" s="14"/>
      <c r="T113" s="13"/>
      <c r="U113" s="13"/>
    </row>
    <row r="114" spans="1:21" x14ac:dyDescent="0.3">
      <c r="A114" s="2" t="s">
        <v>8</v>
      </c>
      <c r="B114" s="4">
        <v>7394.85</v>
      </c>
      <c r="C114" s="8">
        <v>42643</v>
      </c>
      <c r="D114" s="2">
        <v>27.49</v>
      </c>
      <c r="E114" s="3">
        <v>2.95</v>
      </c>
      <c r="F114" s="4">
        <v>1.24</v>
      </c>
      <c r="G114" s="3">
        <v>10677.17</v>
      </c>
      <c r="H114" s="3">
        <f t="shared" si="5"/>
        <v>269.00145507457262</v>
      </c>
      <c r="I114" s="27">
        <f t="shared" si="6"/>
        <v>388.40196435067298</v>
      </c>
      <c r="J114" s="12">
        <f t="shared" si="7"/>
        <v>-2.6213248317392912E-2</v>
      </c>
      <c r="K114" s="12" cm="1">
        <f t="array" ref="K114">PRODUCT(J114:J173+1)^(1/5)-1</f>
        <v>0.10681579541066322</v>
      </c>
      <c r="L114" s="12">
        <f t="shared" si="9"/>
        <v>1.9485431144260934E-2</v>
      </c>
      <c r="M114" s="12"/>
      <c r="N114" s="12"/>
      <c r="O114" s="12"/>
      <c r="P114" s="12"/>
      <c r="Q114" s="12"/>
      <c r="R114" s="12"/>
      <c r="S114" s="14"/>
      <c r="T114" s="12"/>
      <c r="U114" s="12"/>
    </row>
    <row r="115" spans="1:21" x14ac:dyDescent="0.3">
      <c r="A115" s="5" t="s">
        <v>8</v>
      </c>
      <c r="B115" s="7">
        <v>7490.65</v>
      </c>
      <c r="C115" s="9">
        <v>42613</v>
      </c>
      <c r="D115" s="5">
        <v>28.23</v>
      </c>
      <c r="E115" s="6">
        <v>3.01</v>
      </c>
      <c r="F115" s="7">
        <v>1.19</v>
      </c>
      <c r="G115" s="6">
        <v>10806.58</v>
      </c>
      <c r="H115" s="6">
        <f t="shared" si="5"/>
        <v>265.34360609280907</v>
      </c>
      <c r="I115" s="27">
        <f t="shared" si="6"/>
        <v>382.80481756996102</v>
      </c>
      <c r="J115" s="12">
        <f t="shared" si="7"/>
        <v>3.9396170839469891E-2</v>
      </c>
      <c r="K115" s="12" cm="1">
        <f t="array" ref="K115">PRODUCT(J115:J174+1)^(1/5)-1</f>
        <v>0.11057242426235359</v>
      </c>
      <c r="L115" s="12">
        <f t="shared" si="9"/>
        <v>1.9954333326103191E-2</v>
      </c>
      <c r="M115" s="13"/>
      <c r="N115" s="13"/>
      <c r="O115" s="13"/>
      <c r="P115" s="13"/>
      <c r="Q115" s="13"/>
      <c r="R115" s="13"/>
      <c r="S115" s="14"/>
      <c r="T115" s="13"/>
      <c r="U115" s="13"/>
    </row>
    <row r="116" spans="1:21" x14ac:dyDescent="0.3">
      <c r="A116" s="2" t="s">
        <v>8</v>
      </c>
      <c r="B116" s="4">
        <v>7330</v>
      </c>
      <c r="C116" s="8">
        <v>42580</v>
      </c>
      <c r="D116" s="2">
        <v>27.16</v>
      </c>
      <c r="E116" s="3">
        <v>3.01</v>
      </c>
      <c r="F116" s="4">
        <v>1.24</v>
      </c>
      <c r="G116" s="3">
        <v>10561.53</v>
      </c>
      <c r="H116" s="3">
        <f t="shared" si="5"/>
        <v>269.88217967599411</v>
      </c>
      <c r="I116" s="27">
        <f t="shared" si="6"/>
        <v>388.86340206185571</v>
      </c>
      <c r="J116" s="12">
        <f t="shared" si="7"/>
        <v>4.9053688682889174E-2</v>
      </c>
      <c r="K116" s="12" cm="1">
        <f t="array" ref="K116">PRODUCT(J116:J175+1)^(1/5)-1</f>
        <v>8.2288919186390252E-2</v>
      </c>
      <c r="L116" s="12">
        <f t="shared" si="9"/>
        <v>2.2325845952606116E-2</v>
      </c>
      <c r="M116" s="12"/>
      <c r="N116" s="12"/>
      <c r="O116" s="12"/>
      <c r="P116" s="12"/>
      <c r="Q116" s="12"/>
      <c r="R116" s="12"/>
      <c r="S116" s="14"/>
      <c r="T116" s="12"/>
      <c r="U116" s="12"/>
    </row>
    <row r="117" spans="1:21" x14ac:dyDescent="0.3">
      <c r="A117" s="5" t="s">
        <v>8</v>
      </c>
      <c r="B117" s="7">
        <v>6980.8</v>
      </c>
      <c r="C117" s="9">
        <v>42551</v>
      </c>
      <c r="D117" s="5">
        <v>25.89</v>
      </c>
      <c r="E117" s="6">
        <v>2.95</v>
      </c>
      <c r="F117" s="7">
        <v>1.26</v>
      </c>
      <c r="G117" s="6">
        <v>10038.73</v>
      </c>
      <c r="H117" s="6">
        <f t="shared" si="5"/>
        <v>269.6330629586713</v>
      </c>
      <c r="I117" s="27">
        <f t="shared" si="6"/>
        <v>387.74546156817303</v>
      </c>
      <c r="J117" s="12">
        <f t="shared" si="7"/>
        <v>3.6844213055666764E-2</v>
      </c>
      <c r="K117" s="12" cm="1">
        <f t="array" ref="K117">PRODUCT(J117:J176+1)^(1/5)-1</f>
        <v>6.3391100221395824E-2</v>
      </c>
      <c r="L117" s="12">
        <f t="shared" si="9"/>
        <v>2.1958746162059617E-2</v>
      </c>
      <c r="M117" s="13"/>
      <c r="N117" s="13"/>
      <c r="O117" s="13"/>
      <c r="P117" s="13"/>
      <c r="Q117" s="13"/>
      <c r="R117" s="13"/>
      <c r="S117" s="14"/>
      <c r="T117" s="13"/>
      <c r="U117" s="13"/>
    </row>
    <row r="118" spans="1:21" x14ac:dyDescent="0.3">
      <c r="A118" s="2" t="s">
        <v>8</v>
      </c>
      <c r="B118" s="4">
        <v>6804</v>
      </c>
      <c r="C118" s="8">
        <v>42521</v>
      </c>
      <c r="D118" s="2">
        <v>24.97</v>
      </c>
      <c r="E118" s="3">
        <v>2.92</v>
      </c>
      <c r="F118" s="4">
        <v>1.34</v>
      </c>
      <c r="G118" s="3">
        <v>9757.09</v>
      </c>
      <c r="H118" s="3">
        <f t="shared" si="5"/>
        <v>272.48698438125751</v>
      </c>
      <c r="I118" s="27">
        <f t="shared" si="6"/>
        <v>390.75250300360437</v>
      </c>
      <c r="J118" s="12">
        <f t="shared" si="7"/>
        <v>7.8151986183074174E-2</v>
      </c>
      <c r="K118" s="12" cm="1">
        <f t="array" ref="K118">PRODUCT(J118:J177+1)^(1/5)-1</f>
        <v>5.6947913302173525E-2</v>
      </c>
      <c r="L118" s="12">
        <f t="shared" si="9"/>
        <v>2.7822650063249021E-2</v>
      </c>
      <c r="M118" s="12"/>
      <c r="N118" s="12"/>
      <c r="O118" s="12"/>
      <c r="P118" s="12"/>
      <c r="Q118" s="12"/>
      <c r="R118" s="12"/>
      <c r="S118" s="14"/>
      <c r="T118" s="12"/>
      <c r="U118" s="12"/>
    </row>
    <row r="119" spans="1:21" x14ac:dyDescent="0.3">
      <c r="A119" s="5" t="s">
        <v>8</v>
      </c>
      <c r="B119" s="7">
        <v>6588.55</v>
      </c>
      <c r="C119" s="9">
        <v>42489</v>
      </c>
      <c r="D119" s="5">
        <v>23.16</v>
      </c>
      <c r="E119" s="6">
        <v>2.83</v>
      </c>
      <c r="F119" s="7">
        <v>1.38</v>
      </c>
      <c r="G119" s="6">
        <v>9435.77</v>
      </c>
      <c r="H119" s="6">
        <f t="shared" si="5"/>
        <v>284.47970639032815</v>
      </c>
      <c r="I119" s="27">
        <f t="shared" si="6"/>
        <v>407.41666666666669</v>
      </c>
      <c r="J119" s="12">
        <f t="shared" si="7"/>
        <v>1.5344147303814282E-2</v>
      </c>
      <c r="K119" s="12" cm="1">
        <f t="array" ref="K119">PRODUCT(J119:J178+1)^(1/5)-1</f>
        <v>3.0495859817561755E-2</v>
      </c>
      <c r="L119" s="12">
        <f t="shared" si="9"/>
        <v>3.6895597449069895E-2</v>
      </c>
      <c r="M119" s="13"/>
      <c r="N119" s="13"/>
      <c r="O119" s="13"/>
      <c r="P119" s="13"/>
      <c r="Q119" s="13"/>
      <c r="R119" s="13"/>
      <c r="S119" s="14"/>
      <c r="T119" s="13"/>
      <c r="U119" s="13"/>
    </row>
    <row r="120" spans="1:21" x14ac:dyDescent="0.3">
      <c r="A120" s="2" t="s">
        <v>8</v>
      </c>
      <c r="B120" s="4">
        <v>6452.15</v>
      </c>
      <c r="C120" s="8">
        <v>42460</v>
      </c>
      <c r="D120" s="2">
        <v>22.81</v>
      </c>
      <c r="E120" s="3">
        <v>2.76</v>
      </c>
      <c r="F120" s="4">
        <v>1.46</v>
      </c>
      <c r="G120" s="3">
        <v>9239.92</v>
      </c>
      <c r="H120" s="3">
        <f t="shared" si="5"/>
        <v>282.86497150372645</v>
      </c>
      <c r="I120" s="27">
        <f t="shared" si="6"/>
        <v>405.08198158702328</v>
      </c>
      <c r="J120" s="12">
        <f t="shared" si="7"/>
        <v>0.10513565891472854</v>
      </c>
      <c r="K120" s="12" cm="1">
        <f t="array" ref="K120">PRODUCT(J120:J179+1)^(1/5)-1</f>
        <v>2.4905626727365959E-2</v>
      </c>
      <c r="L120" s="12">
        <f t="shared" si="9"/>
        <v>4.082402073099245E-2</v>
      </c>
      <c r="M120" s="12"/>
      <c r="N120" s="12"/>
      <c r="O120" s="12"/>
      <c r="P120" s="12"/>
      <c r="Q120" s="12"/>
      <c r="R120" s="12"/>
      <c r="S120" s="14"/>
      <c r="T120" s="12"/>
      <c r="U120" s="12"/>
    </row>
    <row r="121" spans="1:21" x14ac:dyDescent="0.3">
      <c r="A121" s="5" t="s">
        <v>8</v>
      </c>
      <c r="B121" s="7">
        <v>5829.95</v>
      </c>
      <c r="C121" s="9">
        <v>42429</v>
      </c>
      <c r="D121" s="5">
        <v>20.64</v>
      </c>
      <c r="E121" s="6">
        <v>2.4900000000000002</v>
      </c>
      <c r="F121" s="7">
        <v>1.62</v>
      </c>
      <c r="G121" s="6">
        <v>8332.74</v>
      </c>
      <c r="H121" s="6">
        <f t="shared" si="5"/>
        <v>282.45881782945736</v>
      </c>
      <c r="I121" s="27">
        <f t="shared" si="6"/>
        <v>403.71802325581393</v>
      </c>
      <c r="J121" s="12">
        <f t="shared" si="7"/>
        <v>-6.5217391304347783E-2</v>
      </c>
      <c r="K121" s="12" cm="1">
        <f t="array" ref="K121">PRODUCT(J121:J180+1)^(1/5)-1</f>
        <v>2.246525639369068E-2</v>
      </c>
      <c r="L121" s="12">
        <f t="shared" si="9"/>
        <v>4.2515768255371622E-2</v>
      </c>
      <c r="M121" s="13"/>
      <c r="N121" s="13"/>
      <c r="O121" s="13"/>
      <c r="P121" s="13"/>
      <c r="Q121" s="13"/>
      <c r="R121" s="13"/>
      <c r="S121" s="14"/>
      <c r="T121" s="13"/>
      <c r="U121" s="13"/>
    </row>
    <row r="122" spans="1:21" x14ac:dyDescent="0.3">
      <c r="A122" s="2" t="s">
        <v>8</v>
      </c>
      <c r="B122" s="4">
        <v>6339.45</v>
      </c>
      <c r="C122" s="8">
        <v>42398</v>
      </c>
      <c r="D122" s="2">
        <v>22.08</v>
      </c>
      <c r="E122" s="3">
        <v>2.71</v>
      </c>
      <c r="F122" s="4">
        <v>1.49</v>
      </c>
      <c r="G122" s="3">
        <v>9054.56</v>
      </c>
      <c r="H122" s="3">
        <f t="shared" si="5"/>
        <v>287.11277173913044</v>
      </c>
      <c r="I122" s="27">
        <f t="shared" si="6"/>
        <v>410.07971014492756</v>
      </c>
      <c r="J122" s="12">
        <f t="shared" si="7"/>
        <v>-6.4406779661017044E-2</v>
      </c>
      <c r="K122" s="12" cm="1">
        <f t="array" ref="K122">PRODUCT(J122:J181+1)^(1/5)-1</f>
        <v>2.8132616996889848E-2</v>
      </c>
      <c r="L122" s="12">
        <f t="shared" si="9"/>
        <v>4.5404491144241499E-2</v>
      </c>
      <c r="M122" s="12"/>
      <c r="N122" s="12"/>
      <c r="O122" s="12"/>
      <c r="P122" s="12"/>
      <c r="Q122" s="12"/>
      <c r="R122" s="12"/>
      <c r="S122" s="14"/>
      <c r="T122" s="12"/>
      <c r="U122" s="12"/>
    </row>
    <row r="123" spans="1:21" x14ac:dyDescent="0.3">
      <c r="A123" s="5" t="s">
        <v>8</v>
      </c>
      <c r="B123" s="7">
        <v>6724.75</v>
      </c>
      <c r="C123" s="9">
        <v>42369</v>
      </c>
      <c r="D123" s="5">
        <v>23.6</v>
      </c>
      <c r="E123" s="6">
        <v>2.87</v>
      </c>
      <c r="F123" s="7">
        <v>1.4</v>
      </c>
      <c r="G123" s="6">
        <v>9602.7800000000007</v>
      </c>
      <c r="H123" s="6">
        <f t="shared" si="5"/>
        <v>284.94703389830505</v>
      </c>
      <c r="I123" s="27">
        <f t="shared" si="6"/>
        <v>406.89745762711863</v>
      </c>
      <c r="J123" s="12">
        <f t="shared" si="7"/>
        <v>8.5470085470087387E-3</v>
      </c>
      <c r="K123" s="12" cm="1">
        <f t="array" ref="K123">PRODUCT(J123:J182+1)^(1/5)-1</f>
        <v>1.1941586682430394E-2</v>
      </c>
      <c r="L123" s="12">
        <f t="shared" si="9"/>
        <v>4.3587099365862692E-2</v>
      </c>
      <c r="M123" s="13"/>
      <c r="N123" s="13"/>
      <c r="O123" s="13"/>
      <c r="P123" s="13"/>
      <c r="Q123" s="13"/>
      <c r="R123" s="13"/>
      <c r="S123" s="14"/>
      <c r="T123" s="13"/>
      <c r="U123" s="13"/>
    </row>
    <row r="124" spans="1:21" x14ac:dyDescent="0.3">
      <c r="A124" s="2" t="s">
        <v>8</v>
      </c>
      <c r="B124" s="4">
        <v>6686.1</v>
      </c>
      <c r="C124" s="8">
        <v>42338</v>
      </c>
      <c r="D124" s="2">
        <v>23.4</v>
      </c>
      <c r="E124" s="3">
        <v>2.86</v>
      </c>
      <c r="F124" s="4">
        <v>1.4</v>
      </c>
      <c r="G124" s="3">
        <v>9546.85</v>
      </c>
      <c r="H124" s="3">
        <f t="shared" si="5"/>
        <v>285.73076923076928</v>
      </c>
      <c r="I124" s="27">
        <f t="shared" si="6"/>
        <v>407.98504273504278</v>
      </c>
      <c r="J124" s="12">
        <f t="shared" si="7"/>
        <v>-1.1406844106463976E-2</v>
      </c>
      <c r="K124" s="12" cm="1">
        <f t="array" ref="K124">PRODUCT(J124:J183+1)^(1/5)-1</f>
        <v>1.7080855100000791E-2</v>
      </c>
      <c r="L124" s="12">
        <f t="shared" si="9"/>
        <v>5.1613776420240898E-2</v>
      </c>
      <c r="M124" s="12"/>
      <c r="N124" s="12"/>
      <c r="O124" s="12"/>
      <c r="P124" s="12"/>
      <c r="Q124" s="12"/>
      <c r="R124" s="12"/>
      <c r="S124" s="14"/>
      <c r="T124" s="12"/>
      <c r="U124" s="12"/>
    </row>
    <row r="125" spans="1:21" x14ac:dyDescent="0.3">
      <c r="A125" s="5" t="s">
        <v>8</v>
      </c>
      <c r="B125" s="7">
        <v>6750.95</v>
      </c>
      <c r="C125" s="9">
        <v>42307</v>
      </c>
      <c r="D125" s="5">
        <v>23.67</v>
      </c>
      <c r="E125" s="6">
        <v>2.88</v>
      </c>
      <c r="F125" s="7">
        <v>1.39</v>
      </c>
      <c r="G125" s="6">
        <v>9636.67</v>
      </c>
      <c r="H125" s="6">
        <f t="shared" si="5"/>
        <v>285.21123785382338</v>
      </c>
      <c r="I125" s="27">
        <f t="shared" si="6"/>
        <v>407.12589776087873</v>
      </c>
      <c r="J125" s="12">
        <f t="shared" si="7"/>
        <v>-8.4423807513711591E-4</v>
      </c>
      <c r="K125" s="12" cm="1">
        <f t="array" ref="K125">PRODUCT(J125:J184+1)^(1/5)-1</f>
        <v>5.846843403952473E-3</v>
      </c>
      <c r="L125" s="12">
        <f t="shared" si="9"/>
        <v>5.1017635340690815E-2</v>
      </c>
      <c r="M125" s="13"/>
      <c r="N125" s="13"/>
      <c r="O125" s="13"/>
      <c r="P125" s="13"/>
      <c r="Q125" s="13"/>
      <c r="R125" s="13"/>
      <c r="S125" s="14"/>
      <c r="T125" s="13"/>
      <c r="U125" s="13"/>
    </row>
    <row r="126" spans="1:21" x14ac:dyDescent="0.3">
      <c r="A126" s="2" t="s">
        <v>8</v>
      </c>
      <c r="B126" s="4">
        <v>6646.1</v>
      </c>
      <c r="C126" s="8">
        <v>42277</v>
      </c>
      <c r="D126" s="2">
        <v>23.69</v>
      </c>
      <c r="E126" s="3">
        <v>2.87</v>
      </c>
      <c r="F126" s="4">
        <v>1.38</v>
      </c>
      <c r="G126" s="3">
        <v>9480.5499999999993</v>
      </c>
      <c r="H126" s="3">
        <f t="shared" si="5"/>
        <v>280.54453355846351</v>
      </c>
      <c r="I126" s="27">
        <f t="shared" si="6"/>
        <v>400.19206416209369</v>
      </c>
      <c r="J126" s="12">
        <f t="shared" si="7"/>
        <v>-1.7827529021558819E-2</v>
      </c>
      <c r="K126" s="12" cm="1">
        <f t="array" ref="K126">PRODUCT(J126:J185+1)^(1/5)-1</f>
        <v>7.3346947393491124E-3</v>
      </c>
      <c r="L126" s="12">
        <f t="shared" si="9"/>
        <v>5.3380653716317061E-2</v>
      </c>
      <c r="M126" s="12"/>
      <c r="N126" s="12"/>
      <c r="O126" s="12"/>
      <c r="P126" s="12"/>
      <c r="Q126" s="12"/>
      <c r="R126" s="12"/>
      <c r="S126" s="14"/>
      <c r="T126" s="12"/>
      <c r="U126" s="12"/>
    </row>
    <row r="127" spans="1:21" x14ac:dyDescent="0.3">
      <c r="A127" s="5" t="s">
        <v>8</v>
      </c>
      <c r="B127" s="7">
        <v>6669.35</v>
      </c>
      <c r="C127" s="9">
        <v>42247</v>
      </c>
      <c r="D127" s="5">
        <v>24.12</v>
      </c>
      <c r="E127" s="6">
        <v>2.88</v>
      </c>
      <c r="F127" s="7">
        <v>1.37</v>
      </c>
      <c r="G127" s="6">
        <v>9505.16</v>
      </c>
      <c r="H127" s="6">
        <f t="shared" si="5"/>
        <v>276.50704809286901</v>
      </c>
      <c r="I127" s="27">
        <f t="shared" si="6"/>
        <v>394.07794361525703</v>
      </c>
      <c r="J127" s="12">
        <f t="shared" si="7"/>
        <v>-4.3995243757431579E-2</v>
      </c>
      <c r="K127" s="12" cm="1">
        <f t="array" ref="K127">PRODUCT(J127:J186+1)^(1/5)-1</f>
        <v>2.877787340321647E-2</v>
      </c>
      <c r="L127" s="12">
        <f t="shared" si="9"/>
        <v>5.0985123483257233E-2</v>
      </c>
      <c r="M127" s="13"/>
      <c r="N127" s="13"/>
      <c r="O127" s="13"/>
      <c r="P127" s="13"/>
      <c r="Q127" s="13"/>
      <c r="R127" s="13"/>
      <c r="S127" s="14"/>
      <c r="T127" s="13"/>
      <c r="U127" s="13"/>
    </row>
    <row r="128" spans="1:21" x14ac:dyDescent="0.3">
      <c r="A128" s="2" t="s">
        <v>8</v>
      </c>
      <c r="B128" s="4">
        <v>7106.2</v>
      </c>
      <c r="C128" s="8">
        <v>42216</v>
      </c>
      <c r="D128" s="2">
        <v>25.23</v>
      </c>
      <c r="E128" s="3">
        <v>3.12</v>
      </c>
      <c r="F128" s="4">
        <v>1.31</v>
      </c>
      <c r="G128" s="3">
        <v>10120.91</v>
      </c>
      <c r="H128" s="3">
        <f t="shared" si="5"/>
        <v>281.65675782798257</v>
      </c>
      <c r="I128" s="27">
        <f t="shared" si="6"/>
        <v>401.14585810543002</v>
      </c>
      <c r="J128" s="12">
        <f t="shared" si="7"/>
        <v>2.3529411764706021E-2</v>
      </c>
      <c r="K128" s="12" cm="1">
        <f t="array" ref="K128">PRODUCT(J128:J187+1)^(1/5)-1</f>
        <v>4.8396550384061987E-2</v>
      </c>
      <c r="L128" s="12">
        <f t="shared" si="9"/>
        <v>5.375424934249895E-2</v>
      </c>
      <c r="M128" s="12"/>
      <c r="N128" s="12"/>
      <c r="O128" s="12"/>
      <c r="P128" s="12"/>
      <c r="Q128" s="12"/>
      <c r="R128" s="12"/>
      <c r="S128" s="14"/>
      <c r="T128" s="12"/>
      <c r="U128" s="12"/>
    </row>
    <row r="129" spans="1:21" x14ac:dyDescent="0.3">
      <c r="A129" s="5" t="s">
        <v>8</v>
      </c>
      <c r="B129" s="7">
        <v>6897.2</v>
      </c>
      <c r="C129" s="9">
        <v>42185</v>
      </c>
      <c r="D129" s="5">
        <v>24.65</v>
      </c>
      <c r="E129" s="6">
        <v>3.09</v>
      </c>
      <c r="F129" s="7">
        <v>1.38</v>
      </c>
      <c r="G129" s="6">
        <v>9802.5400000000009</v>
      </c>
      <c r="H129" s="6">
        <f t="shared" si="5"/>
        <v>279.80527383367144</v>
      </c>
      <c r="I129" s="27">
        <f t="shared" si="6"/>
        <v>397.66896551724142</v>
      </c>
      <c r="J129" s="12">
        <f t="shared" si="7"/>
        <v>9.4185094185093021E-3</v>
      </c>
      <c r="K129" s="12" cm="1">
        <f t="array" ref="K129">PRODUCT(J129:J188+1)^(1/5)-1</f>
        <v>4.5215873541030627E-2</v>
      </c>
      <c r="L129" s="12">
        <f t="shared" si="9"/>
        <v>4.4882671063139812E-2</v>
      </c>
      <c r="M129" s="13"/>
      <c r="N129" s="13"/>
      <c r="O129" s="13"/>
      <c r="P129" s="13"/>
      <c r="Q129" s="13"/>
      <c r="R129" s="13"/>
      <c r="S129" s="14"/>
      <c r="T129" s="13"/>
      <c r="U129" s="13"/>
    </row>
    <row r="130" spans="1:21" x14ac:dyDescent="0.3">
      <c r="A130" s="2" t="s">
        <v>8</v>
      </c>
      <c r="B130" s="4">
        <v>6959.85</v>
      </c>
      <c r="C130" s="8">
        <v>42153</v>
      </c>
      <c r="D130" s="2">
        <v>24.42</v>
      </c>
      <c r="E130" s="3">
        <v>3.21</v>
      </c>
      <c r="F130" s="4">
        <v>1.35</v>
      </c>
      <c r="G130" s="3">
        <v>9868.59</v>
      </c>
      <c r="H130" s="3">
        <f t="shared" ref="H130:H193" si="10">B130/D130</f>
        <v>285.00614250614251</v>
      </c>
      <c r="I130" s="27">
        <f t="shared" ref="I130:I193" si="11">G130/D130</f>
        <v>404.11916461916462</v>
      </c>
      <c r="J130" s="12">
        <f t="shared" si="7"/>
        <v>3.386960203217626E-2</v>
      </c>
      <c r="K130" s="12" cm="1">
        <f t="array" ref="K130">PRODUCT(J130:J189+1)^(1/5)-1</f>
        <v>5.1806052888731191E-2</v>
      </c>
      <c r="L130" s="12">
        <f t="shared" si="9"/>
        <v>4.9614987428890922E-2</v>
      </c>
      <c r="M130" s="12"/>
      <c r="N130" s="12"/>
      <c r="O130" s="12"/>
      <c r="P130" s="12"/>
      <c r="Q130" s="12"/>
      <c r="R130" s="12"/>
      <c r="S130" s="14"/>
      <c r="T130" s="12"/>
      <c r="U130" s="12"/>
    </row>
    <row r="131" spans="1:21" x14ac:dyDescent="0.3">
      <c r="A131" s="5" t="s">
        <v>8</v>
      </c>
      <c r="B131" s="7">
        <v>6749.65</v>
      </c>
      <c r="C131" s="9">
        <v>42124</v>
      </c>
      <c r="D131" s="5">
        <v>23.62</v>
      </c>
      <c r="E131" s="6">
        <v>3.11</v>
      </c>
      <c r="F131" s="7">
        <v>1.39</v>
      </c>
      <c r="G131" s="6">
        <v>9564.36</v>
      </c>
      <c r="H131" s="6">
        <f t="shared" si="10"/>
        <v>285.7599491955969</v>
      </c>
      <c r="I131" s="27">
        <f t="shared" si="11"/>
        <v>404.92633361558001</v>
      </c>
      <c r="J131" s="12">
        <f t="shared" ref="J131:J194" si="12">D131/D132-1</f>
        <v>-2.7983539094650234E-2</v>
      </c>
      <c r="K131" s="12" cm="1">
        <f t="array" ref="K131">PRODUCT(J131:J190+1)^(1/5)-1</f>
        <v>4.2633215044367345E-2</v>
      </c>
      <c r="L131" s="12">
        <f t="shared" ref="L131:L162" si="13">(H131/H190)^(1/5)-1</f>
        <v>5.1030958301205187E-2</v>
      </c>
      <c r="M131" s="13"/>
      <c r="N131" s="13"/>
      <c r="O131" s="13"/>
      <c r="P131" s="13"/>
      <c r="Q131" s="13"/>
      <c r="R131" s="13"/>
      <c r="S131" s="14"/>
      <c r="T131" s="13"/>
      <c r="U131" s="13"/>
    </row>
    <row r="132" spans="1:21" x14ac:dyDescent="0.3">
      <c r="A132" s="2" t="s">
        <v>8</v>
      </c>
      <c r="B132" s="4">
        <v>6978.15</v>
      </c>
      <c r="C132" s="8">
        <v>42094</v>
      </c>
      <c r="D132" s="2">
        <v>24.3</v>
      </c>
      <c r="E132" s="3">
        <v>3.21</v>
      </c>
      <c r="F132" s="4">
        <v>1.27</v>
      </c>
      <c r="G132" s="3">
        <v>9887.5</v>
      </c>
      <c r="H132" s="3">
        <f t="shared" si="10"/>
        <v>287.16666666666663</v>
      </c>
      <c r="I132" s="27">
        <f t="shared" si="11"/>
        <v>406.89300411522635</v>
      </c>
      <c r="J132" s="12">
        <f t="shared" si="12"/>
        <v>-2.4879614767255309E-2</v>
      </c>
      <c r="K132" s="12" cm="1">
        <f t="array" ref="K132">PRODUCT(J132:J191+1)^(1/5)-1</f>
        <v>4.596258000929776E-2</v>
      </c>
      <c r="L132" s="12">
        <f t="shared" si="13"/>
        <v>4.7352113779332683E-2</v>
      </c>
      <c r="M132" s="12"/>
      <c r="N132" s="12"/>
      <c r="O132" s="12"/>
      <c r="P132" s="12"/>
      <c r="Q132" s="12"/>
      <c r="R132" s="12"/>
      <c r="S132" s="14"/>
      <c r="T132" s="12"/>
      <c r="U132" s="12"/>
    </row>
    <row r="133" spans="1:21" x14ac:dyDescent="0.3">
      <c r="A133" s="5" t="s">
        <v>8</v>
      </c>
      <c r="B133" s="7">
        <v>7239.45</v>
      </c>
      <c r="C133" s="9">
        <v>42063</v>
      </c>
      <c r="D133" s="5">
        <v>24.92</v>
      </c>
      <c r="E133" s="6">
        <v>3.31</v>
      </c>
      <c r="F133" s="7">
        <v>1.23</v>
      </c>
      <c r="G133" s="6">
        <v>10244.870000000001</v>
      </c>
      <c r="H133" s="6">
        <f t="shared" si="10"/>
        <v>290.5076243980738</v>
      </c>
      <c r="I133" s="27">
        <f t="shared" si="11"/>
        <v>411.11035313001605</v>
      </c>
      <c r="J133" s="12">
        <f t="shared" si="12"/>
        <v>7.5993091537132962E-2</v>
      </c>
      <c r="K133" s="12" cm="1">
        <f t="array" ref="K133">PRODUCT(J133:J192+1)^(1/5)-1</f>
        <v>6.0932275480603204E-2</v>
      </c>
      <c r="L133" s="12">
        <f t="shared" si="13"/>
        <v>5.5056428184618644E-2</v>
      </c>
      <c r="M133" s="13"/>
      <c r="N133" s="13"/>
      <c r="O133" s="13"/>
      <c r="P133" s="13"/>
      <c r="Q133" s="13"/>
      <c r="R133" s="13"/>
      <c r="S133" s="14"/>
      <c r="T133" s="13"/>
      <c r="U133" s="13"/>
    </row>
    <row r="134" spans="1:21" x14ac:dyDescent="0.3">
      <c r="A134" s="2" t="s">
        <v>8</v>
      </c>
      <c r="B134" s="4">
        <v>7166.7</v>
      </c>
      <c r="C134" s="8">
        <v>42034</v>
      </c>
      <c r="D134" s="2">
        <v>23.16</v>
      </c>
      <c r="E134" s="3">
        <v>3.26</v>
      </c>
      <c r="F134" s="4">
        <v>1.21</v>
      </c>
      <c r="G134" s="3">
        <v>10138.98</v>
      </c>
      <c r="H134" s="3">
        <f t="shared" si="10"/>
        <v>309.44300518134713</v>
      </c>
      <c r="I134" s="27">
        <f t="shared" si="11"/>
        <v>437.77979274611397</v>
      </c>
      <c r="J134" s="12">
        <f t="shared" si="12"/>
        <v>5.464480874316946E-2</v>
      </c>
      <c r="K134" s="12" cm="1">
        <f t="array" ref="K134">PRODUCT(J134:J193+1)^(1/5)-1</f>
        <v>4.4044109482653138E-2</v>
      </c>
      <c r="L134" s="12">
        <f t="shared" si="13"/>
        <v>6.8069740915020382E-2</v>
      </c>
      <c r="M134" s="12"/>
      <c r="N134" s="12"/>
      <c r="O134" s="12"/>
      <c r="P134" s="12"/>
      <c r="Q134" s="12"/>
      <c r="R134" s="12"/>
      <c r="S134" s="14"/>
      <c r="T134" s="12"/>
      <c r="U134" s="12"/>
    </row>
    <row r="135" spans="1:21" x14ac:dyDescent="0.3">
      <c r="A135" s="5" t="s">
        <v>8</v>
      </c>
      <c r="B135" s="7">
        <v>6773.65</v>
      </c>
      <c r="C135" s="9">
        <v>42004</v>
      </c>
      <c r="D135" s="5">
        <v>21.96</v>
      </c>
      <c r="E135" s="6">
        <v>3.08</v>
      </c>
      <c r="F135" s="7">
        <v>1.28</v>
      </c>
      <c r="G135" s="6">
        <v>9581.35</v>
      </c>
      <c r="H135" s="6">
        <f t="shared" si="10"/>
        <v>308.45400728597446</v>
      </c>
      <c r="I135" s="27">
        <f t="shared" si="11"/>
        <v>436.30919854280512</v>
      </c>
      <c r="J135" s="12">
        <f t="shared" si="12"/>
        <v>-1.7009847806624845E-2</v>
      </c>
      <c r="K135" s="12" cm="1">
        <f t="array" ref="K135">PRODUCT(J135:J194+1)^(1/5)-1</f>
        <v>1.1107562124887282E-2</v>
      </c>
      <c r="L135" s="12">
        <f t="shared" si="13"/>
        <v>6.7408837527523024E-2</v>
      </c>
      <c r="M135" s="13"/>
      <c r="N135" s="13"/>
      <c r="O135" s="13"/>
      <c r="P135" s="13"/>
      <c r="Q135" s="13"/>
      <c r="R135" s="13"/>
      <c r="S135" s="14"/>
      <c r="T135" s="13"/>
      <c r="U135" s="13"/>
    </row>
    <row r="136" spans="1:21" x14ac:dyDescent="0.3">
      <c r="A136" s="2" t="s">
        <v>8</v>
      </c>
      <c r="B136" s="4">
        <v>6918.05</v>
      </c>
      <c r="C136" s="8">
        <v>41971</v>
      </c>
      <c r="D136" s="2">
        <v>22.34</v>
      </c>
      <c r="E136" s="3">
        <v>3.15</v>
      </c>
      <c r="F136" s="4">
        <v>1.25</v>
      </c>
      <c r="G136" s="3">
        <v>9783.89</v>
      </c>
      <c r="H136" s="3">
        <f t="shared" si="10"/>
        <v>309.670993733214</v>
      </c>
      <c r="I136" s="27">
        <f t="shared" si="11"/>
        <v>437.95389435989256</v>
      </c>
      <c r="J136" s="12">
        <f t="shared" si="12"/>
        <v>1.5454545454545388E-2</v>
      </c>
      <c r="K136" s="12" cm="1">
        <f t="array" ref="K136">PRODUCT(J136:J195+1)^(1/5)-1</f>
        <v>2.3607260603804026E-2</v>
      </c>
      <c r="L136" s="12">
        <f t="shared" si="13"/>
        <v>8.2504450675989327E-2</v>
      </c>
      <c r="M136" s="12"/>
      <c r="N136" s="12"/>
      <c r="O136" s="12"/>
      <c r="P136" s="12"/>
      <c r="Q136" s="12"/>
      <c r="R136" s="12"/>
      <c r="S136" s="14"/>
      <c r="T136" s="12"/>
      <c r="U136" s="12"/>
    </row>
    <row r="137" spans="1:21" x14ac:dyDescent="0.3">
      <c r="A137" s="5" t="s">
        <v>8</v>
      </c>
      <c r="B137" s="7">
        <v>6685.75</v>
      </c>
      <c r="C137" s="9">
        <v>41943</v>
      </c>
      <c r="D137" s="5">
        <v>22</v>
      </c>
      <c r="E137" s="6">
        <v>3.05</v>
      </c>
      <c r="F137" s="7">
        <v>1.29</v>
      </c>
      <c r="G137" s="6">
        <v>9454.02</v>
      </c>
      <c r="H137" s="6">
        <f t="shared" si="10"/>
        <v>303.89772727272725</v>
      </c>
      <c r="I137" s="27">
        <f t="shared" si="11"/>
        <v>429.72818181818184</v>
      </c>
      <c r="J137" s="12">
        <f t="shared" si="12"/>
        <v>2.9480580252690736E-2</v>
      </c>
      <c r="K137" s="12" cm="1">
        <f t="array" ref="K137">PRODUCT(J137:J196+1)^(1/5)-1</f>
        <v>3.8766646079415157E-2</v>
      </c>
      <c r="L137" s="12">
        <f t="shared" si="13"/>
        <v>7.8237495315109706E-2</v>
      </c>
      <c r="M137" s="13"/>
      <c r="N137" s="13"/>
      <c r="O137" s="13"/>
      <c r="P137" s="13"/>
      <c r="Q137" s="13"/>
      <c r="R137" s="13"/>
      <c r="S137" s="14"/>
      <c r="T137" s="13"/>
      <c r="U137" s="13"/>
    </row>
    <row r="138" spans="1:21" x14ac:dyDescent="0.3">
      <c r="A138" s="2" t="s">
        <v>8</v>
      </c>
      <c r="B138" s="4">
        <v>6415.7</v>
      </c>
      <c r="C138" s="8">
        <v>41912</v>
      </c>
      <c r="D138" s="2">
        <v>21.37</v>
      </c>
      <c r="E138" s="3">
        <v>2.98</v>
      </c>
      <c r="F138" s="4">
        <v>1.26</v>
      </c>
      <c r="G138" s="3">
        <v>9067.9500000000007</v>
      </c>
      <c r="H138" s="3">
        <f t="shared" si="10"/>
        <v>300.2199344875994</v>
      </c>
      <c r="I138" s="27">
        <f t="shared" si="11"/>
        <v>424.33083762283576</v>
      </c>
      <c r="J138" s="12">
        <f t="shared" si="12"/>
        <v>1.405810684161235E-3</v>
      </c>
      <c r="K138" s="12" cm="1">
        <f t="array" ref="K138">PRODUCT(J138:J197+1)^(1/5)-1</f>
        <v>3.3082008341656088E-3</v>
      </c>
      <c r="L138" s="12">
        <f t="shared" si="13"/>
        <v>7.2238166049809482E-2</v>
      </c>
      <c r="M138" s="12"/>
      <c r="N138" s="12"/>
      <c r="O138" s="12"/>
      <c r="P138" s="12"/>
      <c r="Q138" s="12"/>
      <c r="R138" s="12"/>
      <c r="S138" s="14"/>
      <c r="T138" s="12"/>
      <c r="U138" s="12"/>
    </row>
    <row r="139" spans="1:21" x14ac:dyDescent="0.3">
      <c r="A139" s="5" t="s">
        <v>8</v>
      </c>
      <c r="B139" s="7">
        <v>6360.75</v>
      </c>
      <c r="C139" s="9">
        <v>41879</v>
      </c>
      <c r="D139" s="5">
        <v>21.34</v>
      </c>
      <c r="E139" s="6">
        <v>2.98</v>
      </c>
      <c r="F139" s="7">
        <v>1.24</v>
      </c>
      <c r="G139" s="6">
        <v>8984.16</v>
      </c>
      <c r="H139" s="6">
        <f t="shared" si="10"/>
        <v>298.06701030927837</v>
      </c>
      <c r="I139" s="27">
        <f t="shared" si="11"/>
        <v>421.00093720712277</v>
      </c>
      <c r="J139" s="12">
        <f t="shared" si="12"/>
        <v>-6.0549604098741883E-3</v>
      </c>
      <c r="K139" s="12" cm="1">
        <f t="array" ref="K139">PRODUCT(J139:J198+1)^(1/5)-1</f>
        <v>1.7571917323806474E-2</v>
      </c>
      <c r="L139" s="12">
        <f t="shared" si="13"/>
        <v>8.7522740914696362E-2</v>
      </c>
      <c r="M139" s="13"/>
      <c r="N139" s="13"/>
      <c r="O139" s="13"/>
      <c r="P139" s="13"/>
      <c r="Q139" s="13"/>
      <c r="R139" s="13"/>
      <c r="S139" s="14"/>
      <c r="T139" s="13"/>
      <c r="U139" s="13"/>
    </row>
    <row r="140" spans="1:21" x14ac:dyDescent="0.3">
      <c r="A140" s="2" t="s">
        <v>8</v>
      </c>
      <c r="B140" s="4">
        <v>6194.45</v>
      </c>
      <c r="C140" s="8">
        <v>41851</v>
      </c>
      <c r="D140" s="2">
        <v>21.47</v>
      </c>
      <c r="E140" s="3">
        <v>2.97</v>
      </c>
      <c r="F140" s="4">
        <v>1.26</v>
      </c>
      <c r="G140" s="3">
        <v>8739.5499999999993</v>
      </c>
      <c r="H140" s="3">
        <f t="shared" si="10"/>
        <v>288.5165346995808</v>
      </c>
      <c r="I140" s="27">
        <f t="shared" si="11"/>
        <v>407.05868653935721</v>
      </c>
      <c r="J140" s="12">
        <f t="shared" si="12"/>
        <v>-1.2419503219871175E-2</v>
      </c>
      <c r="K140" s="12" cm="1">
        <f t="array" ref="K140">PRODUCT(J140:J199+1)^(1/5)-1</f>
        <v>2.4744718598177728E-2</v>
      </c>
      <c r="L140" s="12">
        <f t="shared" si="13"/>
        <v>8.0030479812701394E-2</v>
      </c>
      <c r="M140" s="12"/>
      <c r="N140" s="12"/>
      <c r="O140" s="12"/>
      <c r="P140" s="12"/>
      <c r="Q140" s="12"/>
      <c r="R140" s="12"/>
      <c r="S140" s="14"/>
      <c r="T140" s="12"/>
      <c r="U140" s="12"/>
    </row>
    <row r="141" spans="1:21" x14ac:dyDescent="0.3">
      <c r="A141" s="5" t="s">
        <v>8</v>
      </c>
      <c r="B141" s="7">
        <v>6174.2</v>
      </c>
      <c r="C141" s="9">
        <v>41820</v>
      </c>
      <c r="D141" s="5">
        <v>21.74</v>
      </c>
      <c r="E141" s="6">
        <v>2.99</v>
      </c>
      <c r="F141" s="7">
        <v>1.25</v>
      </c>
      <c r="G141" s="6">
        <v>8687.0499999999993</v>
      </c>
      <c r="H141" s="6">
        <f t="shared" si="10"/>
        <v>284.00183992640297</v>
      </c>
      <c r="I141" s="27">
        <f t="shared" si="11"/>
        <v>399.58831646734131</v>
      </c>
      <c r="J141" s="12">
        <f t="shared" si="12"/>
        <v>6.256109481915928E-2</v>
      </c>
      <c r="K141" s="12" cm="1">
        <f t="array" ref="K141">PRODUCT(J141:J200+1)^(1/5)-1</f>
        <v>3.3362349139629988E-2</v>
      </c>
      <c r="L141" s="12">
        <f t="shared" si="13"/>
        <v>7.4688793895458572E-2</v>
      </c>
      <c r="M141" s="13"/>
      <c r="N141" s="13"/>
      <c r="O141" s="13"/>
      <c r="P141" s="13"/>
      <c r="Q141" s="13"/>
      <c r="R141" s="13"/>
      <c r="S141" s="14"/>
      <c r="T141" s="13"/>
      <c r="U141" s="13"/>
    </row>
    <row r="142" spans="1:21" x14ac:dyDescent="0.3">
      <c r="A142" s="2" t="s">
        <v>8</v>
      </c>
      <c r="B142" s="4">
        <v>5802.85</v>
      </c>
      <c r="C142" s="8">
        <v>41789</v>
      </c>
      <c r="D142" s="2">
        <v>20.46</v>
      </c>
      <c r="E142" s="3">
        <v>2.9</v>
      </c>
      <c r="F142" s="4">
        <v>1.33</v>
      </c>
      <c r="G142" s="3">
        <v>8147</v>
      </c>
      <c r="H142" s="3">
        <f t="shared" si="10"/>
        <v>283.61925708699903</v>
      </c>
      <c r="I142" s="27">
        <f t="shared" si="11"/>
        <v>398.19159335288367</v>
      </c>
      <c r="J142" s="12">
        <f t="shared" si="12"/>
        <v>7.3452256033578189E-2</v>
      </c>
      <c r="K142" s="12" cm="1">
        <f t="array" ref="K142">PRODUCT(J142:J201+1)^(1/5)-1</f>
        <v>7.2927516275307358E-3</v>
      </c>
      <c r="L142" s="12">
        <f t="shared" si="13"/>
        <v>8.5645488365070577E-2</v>
      </c>
      <c r="M142" s="12"/>
      <c r="N142" s="12"/>
      <c r="O142" s="12"/>
      <c r="P142" s="12"/>
      <c r="Q142" s="12"/>
      <c r="R142" s="12"/>
      <c r="S142" s="14"/>
      <c r="T142" s="12"/>
      <c r="U142" s="12"/>
    </row>
    <row r="143" spans="1:21" x14ac:dyDescent="0.3">
      <c r="A143" s="5" t="s">
        <v>8</v>
      </c>
      <c r="B143" s="7">
        <v>5255.65</v>
      </c>
      <c r="C143" s="9">
        <v>41759</v>
      </c>
      <c r="D143" s="5">
        <v>19.059999999999999</v>
      </c>
      <c r="E143" s="6">
        <v>2.65</v>
      </c>
      <c r="F143" s="7">
        <v>1.41</v>
      </c>
      <c r="G143" s="6">
        <v>7371.39</v>
      </c>
      <c r="H143" s="6">
        <f t="shared" si="10"/>
        <v>275.74239244491082</v>
      </c>
      <c r="I143" s="27">
        <f t="shared" si="11"/>
        <v>386.74658971668418</v>
      </c>
      <c r="J143" s="12">
        <f t="shared" si="12"/>
        <v>4.2149631190726566E-3</v>
      </c>
      <c r="K143" s="12" cm="1">
        <f t="array" ref="K143">PRODUCT(J143:J202+1)^(1/5)-1</f>
        <v>4.520122103807056E-2</v>
      </c>
      <c r="L143" s="12">
        <f t="shared" si="13"/>
        <v>8.7306403789841891E-2</v>
      </c>
      <c r="M143" s="13"/>
      <c r="N143" s="13"/>
      <c r="O143" s="13"/>
      <c r="P143" s="13"/>
      <c r="Q143" s="13"/>
      <c r="R143" s="13"/>
      <c r="S143" s="14"/>
      <c r="T143" s="13"/>
      <c r="U143" s="13"/>
    </row>
    <row r="144" spans="1:21" x14ac:dyDescent="0.3">
      <c r="A144" s="2" t="s">
        <v>8</v>
      </c>
      <c r="B144" s="4">
        <v>5224.8500000000004</v>
      </c>
      <c r="C144" s="8">
        <v>41729</v>
      </c>
      <c r="D144" s="2">
        <v>18.98</v>
      </c>
      <c r="E144" s="3">
        <v>2.63</v>
      </c>
      <c r="F144" s="4">
        <v>1.42</v>
      </c>
      <c r="G144" s="3">
        <v>7327.4</v>
      </c>
      <c r="H144" s="3">
        <f t="shared" si="10"/>
        <v>275.28187565858798</v>
      </c>
      <c r="I144" s="27">
        <f t="shared" si="11"/>
        <v>386.05900948366701</v>
      </c>
      <c r="J144" s="12">
        <f t="shared" si="12"/>
        <v>5.8561070831009587E-2</v>
      </c>
      <c r="K144" s="12" cm="1">
        <f t="array" ref="K144">PRODUCT(J144:J203+1)^(1/5)-1</f>
        <v>7.6480820333057586E-2</v>
      </c>
      <c r="L144" s="12">
        <f t="shared" si="13"/>
        <v>9.5740192520087142E-2</v>
      </c>
      <c r="M144" s="12"/>
      <c r="N144" s="12"/>
      <c r="O144" s="12"/>
      <c r="P144" s="12"/>
      <c r="Q144" s="12"/>
      <c r="R144" s="12"/>
      <c r="S144" s="14"/>
      <c r="T144" s="12"/>
      <c r="U144" s="12"/>
    </row>
    <row r="145" spans="1:21" x14ac:dyDescent="0.3">
      <c r="A145" s="5" t="s">
        <v>8</v>
      </c>
      <c r="B145" s="7">
        <v>4849.5</v>
      </c>
      <c r="C145" s="9">
        <v>41698</v>
      </c>
      <c r="D145" s="5">
        <v>17.93</v>
      </c>
      <c r="E145" s="6">
        <v>2.44</v>
      </c>
      <c r="F145" s="7">
        <v>1.52</v>
      </c>
      <c r="G145" s="6">
        <v>6795.74</v>
      </c>
      <c r="H145" s="6">
        <f t="shared" si="10"/>
        <v>270.46848856664809</v>
      </c>
      <c r="I145" s="27">
        <f t="shared" si="11"/>
        <v>379.01505856107082</v>
      </c>
      <c r="J145" s="12">
        <f t="shared" si="12"/>
        <v>2.2358859698154987E-3</v>
      </c>
      <c r="K145" s="12" cm="1">
        <f t="array" ref="K145">PRODUCT(J145:J204+1)^(1/5)-1</f>
        <v>8.218789327509346E-2</v>
      </c>
      <c r="L145" s="12">
        <f t="shared" si="13"/>
        <v>9.1252921234630691E-2</v>
      </c>
      <c r="M145" s="13"/>
      <c r="N145" s="13"/>
      <c r="O145" s="13"/>
      <c r="P145" s="13"/>
      <c r="Q145" s="13"/>
      <c r="R145" s="13"/>
      <c r="S145" s="14"/>
      <c r="T145" s="13"/>
      <c r="U145" s="13"/>
    </row>
    <row r="146" spans="1:21" x14ac:dyDescent="0.3">
      <c r="A146" s="2" t="s">
        <v>8</v>
      </c>
      <c r="B146" s="4">
        <v>4709.1499999999996</v>
      </c>
      <c r="C146" s="8">
        <v>41670</v>
      </c>
      <c r="D146" s="2">
        <v>17.89</v>
      </c>
      <c r="E146" s="3">
        <v>2.37</v>
      </c>
      <c r="F146" s="4">
        <v>1.57</v>
      </c>
      <c r="G146" s="3">
        <v>6594.58</v>
      </c>
      <c r="H146" s="3">
        <f t="shared" si="10"/>
        <v>263.22806036892115</v>
      </c>
      <c r="I146" s="27">
        <f t="shared" si="11"/>
        <v>368.61822247065396</v>
      </c>
      <c r="J146" s="12">
        <f t="shared" si="12"/>
        <v>-5.7925223802000936E-2</v>
      </c>
      <c r="K146" s="12" cm="1">
        <f t="array" ref="K146">PRODUCT(J146:J205+1)^(1/5)-1</f>
        <v>8.0455320716644518E-2</v>
      </c>
      <c r="L146" s="12">
        <f t="shared" si="13"/>
        <v>8.5190767944365753E-2</v>
      </c>
      <c r="M146" s="12"/>
      <c r="N146" s="12"/>
      <c r="O146" s="12"/>
      <c r="P146" s="12"/>
      <c r="Q146" s="12"/>
      <c r="R146" s="12"/>
      <c r="S146" s="14"/>
      <c r="T146" s="12"/>
      <c r="U146" s="12"/>
    </row>
    <row r="147" spans="1:21" x14ac:dyDescent="0.3">
      <c r="A147" s="5" t="s">
        <v>8</v>
      </c>
      <c r="B147" s="7">
        <v>4914.8500000000004</v>
      </c>
      <c r="C147" s="9">
        <v>41639</v>
      </c>
      <c r="D147" s="5">
        <v>18.989999999999998</v>
      </c>
      <c r="E147" s="6">
        <v>2.4700000000000002</v>
      </c>
      <c r="F147" s="7">
        <v>1.5</v>
      </c>
      <c r="G147" s="6">
        <v>6878.29</v>
      </c>
      <c r="H147" s="6">
        <f t="shared" si="10"/>
        <v>258.812532912059</v>
      </c>
      <c r="I147" s="27">
        <f t="shared" si="11"/>
        <v>362.20589784096899</v>
      </c>
      <c r="J147" s="12">
        <f t="shared" si="12"/>
        <v>3.0944625407165915E-2</v>
      </c>
      <c r="K147" s="12" cm="1">
        <f t="array" ref="K147">PRODUCT(J147:J206+1)^(1/5)-1</f>
        <v>9.9837672731325044E-2</v>
      </c>
      <c r="L147" s="12">
        <f t="shared" si="13"/>
        <v>7.3176630803087006E-2</v>
      </c>
      <c r="M147" s="13"/>
      <c r="N147" s="13"/>
      <c r="O147" s="13"/>
      <c r="P147" s="13"/>
      <c r="Q147" s="13"/>
      <c r="R147" s="13"/>
      <c r="S147" s="14"/>
      <c r="T147" s="13"/>
      <c r="U147" s="13"/>
    </row>
    <row r="148" spans="1:21" x14ac:dyDescent="0.3">
      <c r="A148" s="2" t="s">
        <v>8</v>
      </c>
      <c r="B148" s="4">
        <v>4770.1000000000004</v>
      </c>
      <c r="C148" s="8">
        <v>41607</v>
      </c>
      <c r="D148" s="2">
        <v>18.420000000000002</v>
      </c>
      <c r="E148" s="3">
        <v>2.4</v>
      </c>
      <c r="F148" s="4">
        <v>1.55</v>
      </c>
      <c r="G148" s="3">
        <v>6673.85</v>
      </c>
      <c r="H148" s="3">
        <f t="shared" si="10"/>
        <v>258.96308360477741</v>
      </c>
      <c r="I148" s="27">
        <f t="shared" si="11"/>
        <v>362.31541802388705</v>
      </c>
      <c r="J148" s="12">
        <f t="shared" si="12"/>
        <v>3.5995500562429728E-2</v>
      </c>
      <c r="K148" s="12" cm="1">
        <f t="array" ref="K148">PRODUCT(J148:J207+1)^(1/5)-1</f>
        <v>0.11413541864177246</v>
      </c>
      <c r="L148" s="12">
        <f t="shared" si="13"/>
        <v>5.8861248125198218E-2</v>
      </c>
      <c r="M148" s="12"/>
      <c r="N148" s="12"/>
      <c r="O148" s="12"/>
      <c r="P148" s="12"/>
      <c r="Q148" s="12"/>
      <c r="R148" s="12"/>
      <c r="S148" s="14"/>
      <c r="T148" s="12"/>
      <c r="U148" s="12"/>
    </row>
    <row r="149" spans="1:21" x14ac:dyDescent="0.3">
      <c r="A149" s="5" t="s">
        <v>8</v>
      </c>
      <c r="B149" s="7">
        <v>4804.8500000000004</v>
      </c>
      <c r="C149" s="9">
        <v>41578</v>
      </c>
      <c r="D149" s="5">
        <v>17.78</v>
      </c>
      <c r="E149" s="6">
        <v>2.4300000000000002</v>
      </c>
      <c r="F149" s="7">
        <v>1.51</v>
      </c>
      <c r="G149" s="6">
        <v>6720.89</v>
      </c>
      <c r="H149" s="6">
        <f t="shared" si="10"/>
        <v>270.23903262092239</v>
      </c>
      <c r="I149" s="27">
        <f t="shared" si="11"/>
        <v>378.00281214848144</v>
      </c>
      <c r="J149" s="12">
        <f t="shared" si="12"/>
        <v>8.1508515815085225E-2</v>
      </c>
      <c r="K149" s="12" cm="1">
        <f t="array" ref="K149">PRODUCT(J149:J208+1)^(1/5)-1</f>
        <v>9.7820605133408067E-2</v>
      </c>
      <c r="L149" s="12">
        <f t="shared" si="13"/>
        <v>6.7361575527743911E-2</v>
      </c>
      <c r="M149" s="13"/>
      <c r="N149" s="13"/>
      <c r="O149" s="13"/>
      <c r="P149" s="13"/>
      <c r="Q149" s="13"/>
      <c r="R149" s="13"/>
      <c r="S149" s="14"/>
      <c r="T149" s="13"/>
      <c r="U149" s="13"/>
    </row>
    <row r="150" spans="1:21" x14ac:dyDescent="0.3">
      <c r="A150" s="2" t="s">
        <v>8</v>
      </c>
      <c r="B150" s="4">
        <v>4392.05</v>
      </c>
      <c r="C150" s="8">
        <v>41547</v>
      </c>
      <c r="D150" s="2">
        <v>16.440000000000001</v>
      </c>
      <c r="E150" s="3">
        <v>2.2400000000000002</v>
      </c>
      <c r="F150" s="4">
        <v>1.62</v>
      </c>
      <c r="G150" s="3">
        <v>6139.75</v>
      </c>
      <c r="H150" s="3">
        <f t="shared" si="10"/>
        <v>267.15632603406323</v>
      </c>
      <c r="I150" s="27">
        <f t="shared" si="11"/>
        <v>373.46411192214111</v>
      </c>
      <c r="J150" s="12">
        <f t="shared" si="12"/>
        <v>5.4522129570237388E-2</v>
      </c>
      <c r="K150" s="12" cm="1">
        <f t="array" ref="K150">PRODUCT(J150:J209+1)^(1/5)-1</f>
        <v>2.5290374377530123E-2</v>
      </c>
      <c r="L150" s="12">
        <f t="shared" si="13"/>
        <v>6.0021663071280873E-2</v>
      </c>
      <c r="M150" s="12"/>
      <c r="N150" s="12"/>
      <c r="O150" s="12"/>
      <c r="P150" s="12"/>
      <c r="Q150" s="12"/>
      <c r="R150" s="12"/>
      <c r="S150" s="14"/>
      <c r="T150" s="12"/>
      <c r="U150" s="12"/>
    </row>
    <row r="151" spans="1:21" x14ac:dyDescent="0.3">
      <c r="A151" s="5" t="s">
        <v>8</v>
      </c>
      <c r="B151" s="7">
        <v>4175.8500000000004</v>
      </c>
      <c r="C151" s="9">
        <v>41516</v>
      </c>
      <c r="D151" s="5">
        <v>15.59</v>
      </c>
      <c r="E151" s="6">
        <v>2.21</v>
      </c>
      <c r="F151" s="7">
        <v>1.6</v>
      </c>
      <c r="G151" s="6">
        <v>5831.25</v>
      </c>
      <c r="H151" s="6">
        <f t="shared" si="10"/>
        <v>267.85439384220655</v>
      </c>
      <c r="I151" s="27">
        <f t="shared" si="11"/>
        <v>374.03784477228993</v>
      </c>
      <c r="J151" s="12">
        <f t="shared" si="12"/>
        <v>-7.2023809523809601E-2</v>
      </c>
      <c r="K151" s="12" cm="1">
        <f t="array" ref="K151">PRODUCT(J151:J210+1)^(1/5)-1</f>
        <v>-4.1805365953272444E-3</v>
      </c>
      <c r="L151" s="12">
        <f t="shared" si="13"/>
        <v>4.9080224759018298E-2</v>
      </c>
      <c r="M151" s="13"/>
      <c r="N151" s="13"/>
      <c r="O151" s="13"/>
      <c r="P151" s="13"/>
      <c r="Q151" s="13"/>
      <c r="R151" s="13"/>
      <c r="S151" s="14"/>
      <c r="T151" s="13"/>
      <c r="U151" s="13"/>
    </row>
    <row r="152" spans="1:21" x14ac:dyDescent="0.3">
      <c r="A152" s="2" t="s">
        <v>8</v>
      </c>
      <c r="B152" s="4">
        <v>4379.6499999999996</v>
      </c>
      <c r="C152" s="8">
        <v>41486</v>
      </c>
      <c r="D152" s="2">
        <v>16.8</v>
      </c>
      <c r="E152" s="3">
        <v>2.2999999999999998</v>
      </c>
      <c r="F152" s="4">
        <v>1.53</v>
      </c>
      <c r="G152" s="3">
        <v>6109.86</v>
      </c>
      <c r="H152" s="3">
        <f t="shared" si="10"/>
        <v>260.69345238095235</v>
      </c>
      <c r="I152" s="27">
        <f t="shared" si="11"/>
        <v>363.68214285714282</v>
      </c>
      <c r="J152" s="12">
        <f t="shared" si="12"/>
        <v>-4.1095890410958846E-2</v>
      </c>
      <c r="K152" s="12" cm="1">
        <f t="array" ref="K152">PRODUCT(J152:J211+1)^(1/5)-1</f>
        <v>1.3764940235883261E-2</v>
      </c>
      <c r="L152" s="12">
        <f t="shared" si="13"/>
        <v>3.5316650806090921E-2</v>
      </c>
      <c r="M152" s="12"/>
      <c r="N152" s="12"/>
      <c r="O152" s="12"/>
      <c r="P152" s="12"/>
      <c r="Q152" s="12"/>
      <c r="R152" s="12"/>
      <c r="S152" s="14"/>
      <c r="T152" s="12"/>
      <c r="U152" s="12"/>
    </row>
    <row r="153" spans="1:21" x14ac:dyDescent="0.3">
      <c r="A153" s="5" t="s">
        <v>8</v>
      </c>
      <c r="B153" s="7">
        <v>4510.8999999999996</v>
      </c>
      <c r="C153" s="9">
        <v>41453</v>
      </c>
      <c r="D153" s="5">
        <v>17.52</v>
      </c>
      <c r="E153" s="6">
        <v>2.44</v>
      </c>
      <c r="F153" s="7">
        <v>1.48</v>
      </c>
      <c r="G153" s="6">
        <v>6277.73</v>
      </c>
      <c r="H153" s="6">
        <f t="shared" si="10"/>
        <v>257.47146118721457</v>
      </c>
      <c r="I153" s="27">
        <f t="shared" si="11"/>
        <v>358.3179223744292</v>
      </c>
      <c r="J153" s="12">
        <f t="shared" si="12"/>
        <v>-1.6835016835016869E-2</v>
      </c>
      <c r="K153" s="12" cm="1">
        <f t="array" ref="K153">PRODUCT(J153:J212+1)^(1/5)-1</f>
        <v>3.6428377334741358E-2</v>
      </c>
      <c r="L153" s="12">
        <f t="shared" si="13"/>
        <v>3.1663511280391798E-2</v>
      </c>
      <c r="M153" s="13"/>
      <c r="N153" s="13"/>
      <c r="O153" s="13"/>
      <c r="P153" s="13"/>
      <c r="Q153" s="13"/>
      <c r="R153" s="13"/>
      <c r="S153" s="14"/>
      <c r="T153" s="13"/>
      <c r="U153" s="13"/>
    </row>
    <row r="154" spans="1:21" x14ac:dyDescent="0.3">
      <c r="A154" s="2" t="s">
        <v>8</v>
      </c>
      <c r="B154" s="4">
        <v>4681.45</v>
      </c>
      <c r="C154" s="8">
        <v>41425</v>
      </c>
      <c r="D154" s="2">
        <v>17.82</v>
      </c>
      <c r="E154" s="3">
        <v>2.57</v>
      </c>
      <c r="F154" s="4">
        <v>1.41</v>
      </c>
      <c r="G154" s="3">
        <v>6502.47</v>
      </c>
      <c r="H154" s="3">
        <f t="shared" si="10"/>
        <v>262.7076318742985</v>
      </c>
      <c r="I154" s="27">
        <f t="shared" si="11"/>
        <v>364.89730639730641</v>
      </c>
      <c r="J154" s="12">
        <f t="shared" si="12"/>
        <v>1.1350737797956922E-2</v>
      </c>
      <c r="K154" s="12" cm="1">
        <f t="array" ref="K154">PRODUCT(J154:J213+1)^(1/5)-1</f>
        <v>-3.0030572485639784E-3</v>
      </c>
      <c r="L154" s="12">
        <f t="shared" si="13"/>
        <v>3.7387914885874229E-2</v>
      </c>
      <c r="M154" s="12"/>
      <c r="N154" s="12"/>
      <c r="O154" s="12"/>
      <c r="P154" s="12"/>
      <c r="Q154" s="12"/>
      <c r="R154" s="12"/>
      <c r="S154" s="14"/>
      <c r="T154" s="12"/>
      <c r="U154" s="12"/>
    </row>
    <row r="155" spans="1:21" x14ac:dyDescent="0.3">
      <c r="A155" s="5" t="s">
        <v>8</v>
      </c>
      <c r="B155" s="7">
        <v>4641.75</v>
      </c>
      <c r="C155" s="9">
        <v>41394</v>
      </c>
      <c r="D155" s="5">
        <v>17.62</v>
      </c>
      <c r="E155" s="6">
        <v>2.57</v>
      </c>
      <c r="F155" s="7">
        <v>1.42</v>
      </c>
      <c r="G155" s="6">
        <v>6430.9</v>
      </c>
      <c r="H155" s="6">
        <f t="shared" si="10"/>
        <v>263.43643586833144</v>
      </c>
      <c r="I155" s="27">
        <f t="shared" si="11"/>
        <v>364.97729852440403</v>
      </c>
      <c r="J155" s="12">
        <f t="shared" si="12"/>
        <v>3.1012287887653756E-2</v>
      </c>
      <c r="K155" s="12" cm="1">
        <f t="array" ref="K155">PRODUCT(J155:J214+1)^(1/5)-1</f>
        <v>-1.9164731302826365E-2</v>
      </c>
      <c r="L155" s="12">
        <f t="shared" si="13"/>
        <v>3.7747084326676505E-2</v>
      </c>
      <c r="M155" s="13"/>
      <c r="N155" s="13"/>
      <c r="O155" s="13"/>
      <c r="P155" s="13"/>
      <c r="Q155" s="13"/>
      <c r="R155" s="13"/>
      <c r="S155" s="14"/>
      <c r="T155" s="13"/>
      <c r="U155" s="13"/>
    </row>
    <row r="156" spans="1:21" x14ac:dyDescent="0.3">
      <c r="A156" s="2" t="s">
        <v>8</v>
      </c>
      <c r="B156" s="4">
        <v>4438.3500000000004</v>
      </c>
      <c r="C156" s="8">
        <v>41361</v>
      </c>
      <c r="D156" s="2">
        <v>17.09</v>
      </c>
      <c r="E156" s="3">
        <v>2.4500000000000002</v>
      </c>
      <c r="F156" s="4">
        <v>1.49</v>
      </c>
      <c r="G156" s="3">
        <v>6148.26</v>
      </c>
      <c r="H156" s="3">
        <f t="shared" si="10"/>
        <v>259.70450555880632</v>
      </c>
      <c r="I156" s="27">
        <f t="shared" si="11"/>
        <v>359.75775307197193</v>
      </c>
      <c r="J156" s="12">
        <f t="shared" si="12"/>
        <v>-6.9726902963394011E-3</v>
      </c>
      <c r="K156" s="12" cm="1">
        <f t="array" ref="K156">PRODUCT(J156:J215+1)^(1/5)-1</f>
        <v>-8.7752860992985626E-3</v>
      </c>
      <c r="L156" s="12">
        <f t="shared" si="13"/>
        <v>3.6084796344279191E-2</v>
      </c>
      <c r="M156" s="12"/>
      <c r="N156" s="12"/>
      <c r="O156" s="12"/>
      <c r="P156" s="12"/>
      <c r="Q156" s="12"/>
      <c r="R156" s="12"/>
      <c r="S156" s="14"/>
      <c r="T156" s="12"/>
      <c r="U156" s="12"/>
    </row>
    <row r="157" spans="1:21" x14ac:dyDescent="0.3">
      <c r="A157" s="5" t="s">
        <v>8</v>
      </c>
      <c r="B157" s="7">
        <v>4477.5</v>
      </c>
      <c r="C157" s="9">
        <v>41333</v>
      </c>
      <c r="D157" s="5">
        <v>17.21</v>
      </c>
      <c r="E157" s="6">
        <v>2.4700000000000002</v>
      </c>
      <c r="F157" s="7">
        <v>1.47</v>
      </c>
      <c r="G157" s="6">
        <v>6198.24</v>
      </c>
      <c r="H157" s="6">
        <f t="shared" si="10"/>
        <v>260.16850668216154</v>
      </c>
      <c r="I157" s="27">
        <f t="shared" si="11"/>
        <v>360.15339918651944</v>
      </c>
      <c r="J157" s="12">
        <f t="shared" si="12"/>
        <v>-4.6537396121883678E-2</v>
      </c>
      <c r="K157" s="12" cm="1">
        <f t="array" ref="K157">PRODUCT(J157:J216+1)^(1/5)-1</f>
        <v>-3.2391299762834391E-2</v>
      </c>
      <c r="L157" s="12">
        <f t="shared" si="13"/>
        <v>3.9636810067987138E-2</v>
      </c>
      <c r="M157" s="13"/>
      <c r="N157" s="13"/>
      <c r="O157" s="13"/>
      <c r="P157" s="13"/>
      <c r="Q157" s="13"/>
      <c r="R157" s="13"/>
      <c r="S157" s="14"/>
      <c r="T157" s="13"/>
      <c r="U157" s="13"/>
    </row>
    <row r="158" spans="1:21" x14ac:dyDescent="0.3">
      <c r="A158" s="2" t="s">
        <v>8</v>
      </c>
      <c r="B158" s="4">
        <v>4795.3</v>
      </c>
      <c r="C158" s="8">
        <v>41305</v>
      </c>
      <c r="D158" s="2">
        <v>18.05</v>
      </c>
      <c r="E158" s="3">
        <v>2.65</v>
      </c>
      <c r="F158" s="4">
        <v>1.38</v>
      </c>
      <c r="G158" s="3">
        <v>6634.78</v>
      </c>
      <c r="H158" s="3">
        <f t="shared" si="10"/>
        <v>265.66759002770084</v>
      </c>
      <c r="I158" s="27">
        <f t="shared" si="11"/>
        <v>367.57783933518004</v>
      </c>
      <c r="J158" s="12">
        <f t="shared" si="12"/>
        <v>-2.0618556701030855E-2</v>
      </c>
      <c r="K158" s="12" cm="1">
        <f t="array" ref="K158">PRODUCT(J158:J217+1)^(1/5)-1</f>
        <v>-2.2159147319277595E-2</v>
      </c>
      <c r="L158" s="12">
        <f t="shared" si="13"/>
        <v>4.3308829113306579E-2</v>
      </c>
      <c r="M158" s="12"/>
      <c r="N158" s="12"/>
      <c r="O158" s="12"/>
      <c r="P158" s="12"/>
      <c r="Q158" s="12"/>
      <c r="R158" s="12"/>
      <c r="S158" s="14"/>
      <c r="T158" s="12"/>
      <c r="U158" s="12"/>
    </row>
    <row r="159" spans="1:21" x14ac:dyDescent="0.3">
      <c r="A159" s="5" t="s">
        <v>8</v>
      </c>
      <c r="B159" s="7">
        <v>4743.45</v>
      </c>
      <c r="C159" s="9">
        <v>41274</v>
      </c>
      <c r="D159" s="5">
        <v>18.43</v>
      </c>
      <c r="E159" s="6">
        <v>2.62</v>
      </c>
      <c r="F159" s="7">
        <v>1.39</v>
      </c>
      <c r="G159" s="6">
        <v>6561.87</v>
      </c>
      <c r="H159" s="6">
        <f t="shared" si="10"/>
        <v>257.37655995659253</v>
      </c>
      <c r="I159" s="27">
        <f t="shared" si="11"/>
        <v>356.04286489419422</v>
      </c>
      <c r="J159" s="12">
        <f t="shared" si="12"/>
        <v>1.4867841409691662E-2</v>
      </c>
      <c r="K159" s="12" cm="1">
        <f t="array" ref="K159">PRODUCT(J159:J218+1)^(1/5)-1</f>
        <v>-6.9354500106537431E-2</v>
      </c>
      <c r="L159" s="12">
        <f t="shared" si="13"/>
        <v>3.6246747992702E-2</v>
      </c>
      <c r="M159" s="13"/>
      <c r="N159" s="13"/>
      <c r="O159" s="13"/>
      <c r="P159" s="13"/>
      <c r="Q159" s="13"/>
      <c r="R159" s="13"/>
      <c r="S159" s="14"/>
      <c r="T159" s="13"/>
      <c r="U159" s="13"/>
    </row>
    <row r="160" spans="1:21" x14ac:dyDescent="0.3">
      <c r="A160" s="2" t="s">
        <v>8</v>
      </c>
      <c r="B160" s="4">
        <v>4675.25</v>
      </c>
      <c r="C160" s="8">
        <v>41243</v>
      </c>
      <c r="D160" s="2">
        <v>18.16</v>
      </c>
      <c r="E160" s="3">
        <v>2.57</v>
      </c>
      <c r="F160" s="4">
        <v>1.41</v>
      </c>
      <c r="G160" s="3">
        <v>6465.86</v>
      </c>
      <c r="H160" s="3">
        <f t="shared" si="10"/>
        <v>257.44768722466961</v>
      </c>
      <c r="I160" s="27">
        <f t="shared" si="11"/>
        <v>356.04955947136563</v>
      </c>
      <c r="J160" s="12">
        <f t="shared" si="12"/>
        <v>-1.7847485127095664E-2</v>
      </c>
      <c r="K160" s="12" cm="1">
        <f t="array" ref="K160">PRODUCT(J160:J219+1)^(1/5)-1</f>
        <v>-4.9601393879879829E-2</v>
      </c>
      <c r="L160" s="12">
        <f t="shared" si="13"/>
        <v>4.8845587495459197E-2</v>
      </c>
      <c r="M160" s="12"/>
      <c r="N160" s="12"/>
      <c r="O160" s="12"/>
      <c r="P160" s="12"/>
      <c r="Q160" s="12"/>
      <c r="R160" s="12"/>
      <c r="S160" s="14"/>
      <c r="T160" s="12"/>
      <c r="U160" s="12"/>
    </row>
    <row r="161" spans="1:21" x14ac:dyDescent="0.3">
      <c r="A161" s="5" t="s">
        <v>8</v>
      </c>
      <c r="B161" s="7">
        <v>4448.8500000000004</v>
      </c>
      <c r="C161" s="9">
        <v>41213</v>
      </c>
      <c r="D161" s="5">
        <v>18.489999999999998</v>
      </c>
      <c r="E161" s="6">
        <v>2.48</v>
      </c>
      <c r="F161" s="7">
        <v>1.47</v>
      </c>
      <c r="G161" s="6">
        <v>6148.86</v>
      </c>
      <c r="H161" s="6">
        <f t="shared" si="10"/>
        <v>240.60843699296922</v>
      </c>
      <c r="I161" s="27">
        <f t="shared" si="11"/>
        <v>332.55056787452679</v>
      </c>
      <c r="J161" s="12">
        <f t="shared" si="12"/>
        <v>-4.1968911917098617E-2</v>
      </c>
      <c r="K161" s="12" cm="1">
        <f t="array" ref="K161">PRODUCT(J161:J220+1)^(1/5)-1</f>
        <v>-4.3046385198449943E-2</v>
      </c>
      <c r="L161" s="12">
        <f t="shared" si="13"/>
        <v>2.9631409811791576E-2</v>
      </c>
      <c r="M161" s="13"/>
      <c r="N161" s="13"/>
      <c r="O161" s="13"/>
      <c r="P161" s="13"/>
      <c r="Q161" s="13"/>
      <c r="R161" s="13"/>
      <c r="S161" s="14"/>
      <c r="T161" s="13"/>
      <c r="U161" s="13"/>
    </row>
    <row r="162" spans="1:21" x14ac:dyDescent="0.3">
      <c r="A162" s="2" t="s">
        <v>8</v>
      </c>
      <c r="B162" s="4">
        <v>4504.3500000000004</v>
      </c>
      <c r="C162" s="8">
        <v>41180</v>
      </c>
      <c r="D162" s="2">
        <v>19.3</v>
      </c>
      <c r="E162" s="3">
        <v>2.6</v>
      </c>
      <c r="F162" s="4">
        <v>1.46</v>
      </c>
      <c r="G162" s="3">
        <v>6223.06</v>
      </c>
      <c r="H162" s="3">
        <f t="shared" si="10"/>
        <v>233.38601036269432</v>
      </c>
      <c r="I162" s="27">
        <f t="shared" si="11"/>
        <v>322.43834196891191</v>
      </c>
      <c r="J162" s="12">
        <f t="shared" si="12"/>
        <v>8.1232492997198813E-2</v>
      </c>
      <c r="K162" s="12" cm="1">
        <f t="array" ref="K162">PRODUCT(J162:J221+1)^(1/5)-1</f>
        <v>-1.6648070937664294E-2</v>
      </c>
      <c r="L162" s="12">
        <f t="shared" si="13"/>
        <v>2.2679016120780826E-2</v>
      </c>
      <c r="M162" s="12"/>
      <c r="N162" s="12"/>
      <c r="O162" s="12"/>
      <c r="P162" s="12"/>
      <c r="Q162" s="12"/>
      <c r="R162" s="12"/>
      <c r="S162" s="14"/>
      <c r="T162" s="12"/>
      <c r="U162" s="12"/>
    </row>
    <row r="163" spans="1:21" x14ac:dyDescent="0.3">
      <c r="A163" s="5" t="s">
        <v>8</v>
      </c>
      <c r="B163" s="7">
        <v>4129.8999999999996</v>
      </c>
      <c r="C163" s="9">
        <v>41152</v>
      </c>
      <c r="D163" s="5">
        <v>17.850000000000001</v>
      </c>
      <c r="E163" s="6">
        <v>2.37</v>
      </c>
      <c r="F163" s="7">
        <v>1.6</v>
      </c>
      <c r="G163" s="6">
        <v>5701.84</v>
      </c>
      <c r="H163" s="6">
        <f t="shared" si="10"/>
        <v>231.36694677871145</v>
      </c>
      <c r="I163" s="27">
        <f t="shared" si="11"/>
        <v>319.43081232492995</v>
      </c>
      <c r="J163" s="12">
        <f t="shared" si="12"/>
        <v>5.3719008264462742E-2</v>
      </c>
      <c r="K163" s="12" cm="1">
        <f t="array" ref="K163">PRODUCT(J163:J222+1)^(1/5)-1</f>
        <v>-6.0510494876462317E-3</v>
      </c>
      <c r="L163" s="12">
        <f t="shared" ref="L163:L194" si="14">(H163/H222)^(1/5)-1</f>
        <v>3.0030322825563838E-2</v>
      </c>
      <c r="M163" s="13"/>
      <c r="N163" s="13"/>
      <c r="O163" s="13"/>
      <c r="P163" s="13"/>
      <c r="Q163" s="13"/>
      <c r="R163" s="13"/>
      <c r="S163" s="14"/>
      <c r="T163" s="13"/>
      <c r="U163" s="13"/>
    </row>
    <row r="164" spans="1:21" x14ac:dyDescent="0.3">
      <c r="A164" s="2" t="s">
        <v>8</v>
      </c>
      <c r="B164" s="4">
        <v>4126.45</v>
      </c>
      <c r="C164" s="8">
        <v>41121</v>
      </c>
      <c r="D164" s="2">
        <v>16.940000000000001</v>
      </c>
      <c r="E164" s="3">
        <v>2.4300000000000002</v>
      </c>
      <c r="F164" s="4">
        <v>1.57</v>
      </c>
      <c r="G164" s="3">
        <v>5689.6</v>
      </c>
      <c r="H164" s="3">
        <f t="shared" si="10"/>
        <v>243.59208972845335</v>
      </c>
      <c r="I164" s="27">
        <f t="shared" si="11"/>
        <v>335.8677685950413</v>
      </c>
      <c r="J164" s="12">
        <f t="shared" si="12"/>
        <v>-2.6995979322228525E-2</v>
      </c>
      <c r="K164" s="12" cm="1">
        <f t="array" ref="K164">PRODUCT(J164:J223+1)^(1/5)-1</f>
        <v>-1.9784620402567121E-2</v>
      </c>
      <c r="L164" s="12">
        <f t="shared" si="14"/>
        <v>3.8448916977229963E-2</v>
      </c>
      <c r="M164" s="12"/>
      <c r="N164" s="12"/>
      <c r="O164" s="12"/>
      <c r="P164" s="12"/>
      <c r="Q164" s="12"/>
      <c r="R164" s="12"/>
      <c r="S164" s="14"/>
      <c r="T164" s="12"/>
      <c r="U164" s="12"/>
    </row>
    <row r="165" spans="1:21" x14ac:dyDescent="0.3">
      <c r="A165" s="5" t="s">
        <v>8</v>
      </c>
      <c r="B165" s="7">
        <v>4170.6499999999996</v>
      </c>
      <c r="C165" s="9">
        <v>41089</v>
      </c>
      <c r="D165" s="5">
        <v>17.41</v>
      </c>
      <c r="E165" s="6">
        <v>2.48</v>
      </c>
      <c r="F165" s="7">
        <v>1.54</v>
      </c>
      <c r="G165" s="6">
        <v>5738.04</v>
      </c>
      <c r="H165" s="6">
        <f t="shared" si="10"/>
        <v>239.5548535324526</v>
      </c>
      <c r="I165" s="27">
        <f t="shared" si="11"/>
        <v>329.58299827685238</v>
      </c>
      <c r="J165" s="12">
        <f t="shared" si="12"/>
        <v>3.6309523809523681E-2</v>
      </c>
      <c r="K165" s="12" cm="1">
        <f t="array" ref="K165">PRODUCT(J165:J224+1)^(1/5)-1</f>
        <v>-1.6601296399560983E-2</v>
      </c>
      <c r="L165" s="12">
        <f t="shared" si="14"/>
        <v>3.4559281735432545E-2</v>
      </c>
      <c r="M165" s="13"/>
      <c r="N165" s="13"/>
      <c r="O165" s="13"/>
      <c r="P165" s="13"/>
      <c r="Q165" s="13"/>
      <c r="R165" s="13"/>
      <c r="S165" s="14"/>
      <c r="T165" s="13"/>
      <c r="U165" s="13"/>
    </row>
    <row r="166" spans="1:21" x14ac:dyDescent="0.3">
      <c r="A166" s="2" t="s">
        <v>8</v>
      </c>
      <c r="B166" s="4">
        <v>3913.05</v>
      </c>
      <c r="C166" s="8">
        <v>41060</v>
      </c>
      <c r="D166" s="2">
        <v>16.8</v>
      </c>
      <c r="E166" s="3">
        <v>2.37</v>
      </c>
      <c r="F166" s="4">
        <v>1.66</v>
      </c>
      <c r="G166" s="3">
        <v>5367.52</v>
      </c>
      <c r="H166" s="3">
        <f t="shared" si="10"/>
        <v>232.91964285714286</v>
      </c>
      <c r="I166" s="27">
        <f t="shared" si="11"/>
        <v>319.49523809523811</v>
      </c>
      <c r="J166" s="12">
        <f t="shared" si="12"/>
        <v>-6.7184897279289335E-2</v>
      </c>
      <c r="K166" s="12" cm="1">
        <f t="array" ref="K166">PRODUCT(J166:J225+1)^(1/5)-1</f>
        <v>-1.8775288130104206E-2</v>
      </c>
      <c r="L166" s="12">
        <f t="shared" si="14"/>
        <v>3.9900470658833731E-2</v>
      </c>
      <c r="M166" s="12"/>
      <c r="N166" s="12"/>
      <c r="O166" s="12"/>
      <c r="P166" s="12"/>
      <c r="Q166" s="12"/>
      <c r="R166" s="12"/>
      <c r="S166" s="14"/>
      <c r="T166" s="12"/>
      <c r="U166" s="12"/>
    </row>
    <row r="167" spans="1:21" x14ac:dyDescent="0.3">
      <c r="A167" s="5" t="s">
        <v>8</v>
      </c>
      <c r="B167" s="7">
        <v>4178.3500000000004</v>
      </c>
      <c r="C167" s="9">
        <v>41029</v>
      </c>
      <c r="D167" s="5">
        <v>18.010000000000002</v>
      </c>
      <c r="E167" s="6">
        <v>2.5299999999999998</v>
      </c>
      <c r="F167" s="7">
        <v>1.54</v>
      </c>
      <c r="G167" s="6">
        <v>5719.56</v>
      </c>
      <c r="H167" s="6">
        <f t="shared" si="10"/>
        <v>232.00166574125487</v>
      </c>
      <c r="I167" s="27">
        <f t="shared" si="11"/>
        <v>317.57690172126598</v>
      </c>
      <c r="J167" s="12">
        <f t="shared" si="12"/>
        <v>-1.7993456924754514E-2</v>
      </c>
      <c r="K167" s="12" cm="1">
        <f t="array" ref="K167">PRODUCT(J167:J226+1)^(1/5)-1</f>
        <v>4.6162737425909928E-3</v>
      </c>
      <c r="L167" s="12">
        <f t="shared" si="14"/>
        <v>3.7558496034661104E-2</v>
      </c>
      <c r="M167" s="13"/>
      <c r="N167" s="13"/>
      <c r="O167" s="13"/>
      <c r="P167" s="13"/>
      <c r="Q167" s="13"/>
      <c r="R167" s="13"/>
      <c r="S167" s="14"/>
      <c r="T167" s="13"/>
      <c r="U167" s="13"/>
    </row>
    <row r="168" spans="1:21" x14ac:dyDescent="0.3">
      <c r="A168" s="2" t="s">
        <v>8</v>
      </c>
      <c r="B168" s="4">
        <v>4221.8</v>
      </c>
      <c r="C168" s="8">
        <v>40998</v>
      </c>
      <c r="D168" s="2">
        <v>18.34</v>
      </c>
      <c r="E168" s="3">
        <v>2.5499999999999998</v>
      </c>
      <c r="F168" s="4">
        <v>1.53</v>
      </c>
      <c r="G168" s="3">
        <v>5778.58</v>
      </c>
      <c r="H168" s="3">
        <f t="shared" si="10"/>
        <v>230.19629225736097</v>
      </c>
      <c r="I168" s="27">
        <f t="shared" si="11"/>
        <v>315.08069792802615</v>
      </c>
      <c r="J168" s="12">
        <f t="shared" si="12"/>
        <v>-1.3448090371167343E-2</v>
      </c>
      <c r="K168" s="12" cm="1">
        <f t="array" ref="K168">PRODUCT(J168:J227+1)^(1/5)-1</f>
        <v>1.3981109980429229E-2</v>
      </c>
      <c r="L168" s="12">
        <f t="shared" si="14"/>
        <v>3.6959965214230062E-2</v>
      </c>
      <c r="M168" s="12"/>
      <c r="N168" s="12"/>
      <c r="O168" s="12"/>
      <c r="P168" s="12"/>
      <c r="Q168" s="12"/>
      <c r="R168" s="12"/>
      <c r="S168" s="14"/>
      <c r="T168" s="12"/>
      <c r="U168" s="12"/>
    </row>
    <row r="169" spans="1:21" x14ac:dyDescent="0.3">
      <c r="A169" s="5" t="s">
        <v>8</v>
      </c>
      <c r="B169" s="7">
        <v>4275.55</v>
      </c>
      <c r="C169" s="9">
        <v>40968</v>
      </c>
      <c r="D169" s="5">
        <v>18.59</v>
      </c>
      <c r="E169" s="6">
        <v>2.57</v>
      </c>
      <c r="F169" s="7">
        <v>1.51</v>
      </c>
      <c r="G169" s="6">
        <v>5848.67</v>
      </c>
      <c r="H169" s="6">
        <f t="shared" si="10"/>
        <v>229.9919311457773</v>
      </c>
      <c r="I169" s="27">
        <f t="shared" si="11"/>
        <v>314.61377084454006</v>
      </c>
      <c r="J169" s="12">
        <f t="shared" si="12"/>
        <v>5.5650198750709867E-2</v>
      </c>
      <c r="K169" s="12" cm="1">
        <f t="array" ref="K169">PRODUCT(J169:J228+1)^(1/5)-1</f>
        <v>1.9244876491456564E-2</v>
      </c>
      <c r="L169" s="12">
        <f t="shared" si="14"/>
        <v>4.5824294148552935E-2</v>
      </c>
      <c r="M169" s="13"/>
      <c r="N169" s="13"/>
      <c r="O169" s="13"/>
      <c r="P169" s="13"/>
      <c r="Q169" s="13"/>
      <c r="R169" s="13"/>
      <c r="S169" s="14"/>
      <c r="T169" s="13"/>
      <c r="U169" s="13"/>
    </row>
    <row r="170" spans="1:21" x14ac:dyDescent="0.3">
      <c r="A170" s="2" t="s">
        <v>8</v>
      </c>
      <c r="B170" s="4">
        <v>4082.85</v>
      </c>
      <c r="C170" s="8">
        <v>40939</v>
      </c>
      <c r="D170" s="2">
        <v>17.61</v>
      </c>
      <c r="E170" s="3">
        <v>2.48</v>
      </c>
      <c r="F170" s="4">
        <v>1.55</v>
      </c>
      <c r="G170" s="3">
        <v>5583.02</v>
      </c>
      <c r="H170" s="3">
        <f t="shared" si="10"/>
        <v>231.84838160136286</v>
      </c>
      <c r="I170" s="27">
        <f t="shared" si="11"/>
        <v>317.03691084611017</v>
      </c>
      <c r="J170" s="12">
        <f t="shared" si="12"/>
        <v>0.12740076824583868</v>
      </c>
      <c r="K170" s="12" cm="1">
        <f t="array" ref="K170">PRODUCT(J170:J229+1)^(1/5)-1</f>
        <v>-1.1198081866910736E-2</v>
      </c>
      <c r="L170" s="12">
        <f t="shared" si="14"/>
        <v>4.7439480891827035E-2</v>
      </c>
      <c r="M170" s="12"/>
      <c r="N170" s="12"/>
      <c r="O170" s="12"/>
      <c r="P170" s="12"/>
      <c r="Q170" s="12"/>
      <c r="R170" s="12"/>
      <c r="S170" s="14"/>
      <c r="T170" s="12"/>
      <c r="U170" s="12"/>
    </row>
    <row r="171" spans="1:21" x14ac:dyDescent="0.3">
      <c r="A171" s="5" t="s">
        <v>8</v>
      </c>
      <c r="B171" s="7">
        <v>3597.75</v>
      </c>
      <c r="C171" s="9">
        <v>40907</v>
      </c>
      <c r="D171" s="5">
        <v>15.62</v>
      </c>
      <c r="E171" s="6">
        <v>2.23</v>
      </c>
      <c r="F171" s="7">
        <v>1.7</v>
      </c>
      <c r="G171" s="6">
        <v>4916.08</v>
      </c>
      <c r="H171" s="6">
        <f t="shared" si="10"/>
        <v>230.32970550576186</v>
      </c>
      <c r="I171" s="27">
        <f t="shared" si="11"/>
        <v>314.72983354673499</v>
      </c>
      <c r="J171" s="12">
        <f t="shared" si="12"/>
        <v>-5.5622732769044725E-2</v>
      </c>
      <c r="K171" s="12" cm="1">
        <f t="array" ref="K171">PRODUCT(J171:J230+1)^(1/5)-1</f>
        <v>-4.6703776973250233E-2</v>
      </c>
      <c r="L171" s="12">
        <f t="shared" si="14"/>
        <v>4.8077094336939075E-2</v>
      </c>
      <c r="M171" s="13"/>
      <c r="N171" s="13"/>
      <c r="O171" s="13"/>
      <c r="P171" s="13"/>
      <c r="Q171" s="13"/>
      <c r="R171" s="13"/>
      <c r="S171" s="14"/>
      <c r="T171" s="13"/>
      <c r="U171" s="13"/>
    </row>
    <row r="172" spans="1:21" x14ac:dyDescent="0.3">
      <c r="A172" s="2" t="s">
        <v>8</v>
      </c>
      <c r="B172" s="4">
        <v>3811.25</v>
      </c>
      <c r="C172" s="8">
        <v>40877</v>
      </c>
      <c r="D172" s="2">
        <v>16.54</v>
      </c>
      <c r="E172" s="3">
        <v>2.36</v>
      </c>
      <c r="F172" s="4">
        <v>1.6</v>
      </c>
      <c r="G172" s="3">
        <v>5207.62</v>
      </c>
      <c r="H172" s="3">
        <f t="shared" si="10"/>
        <v>230.42623941958888</v>
      </c>
      <c r="I172" s="27">
        <f t="shared" si="11"/>
        <v>314.85006045949217</v>
      </c>
      <c r="J172" s="12">
        <f t="shared" si="12"/>
        <v>-4.1714947856315354E-2</v>
      </c>
      <c r="K172" s="12" cm="1">
        <f t="array" ref="K172">PRODUCT(J172:J231+1)^(1/5)-1</f>
        <v>-3.3379755082740603E-2</v>
      </c>
      <c r="L172" s="12">
        <f t="shared" si="14"/>
        <v>6.7682976347827717E-2</v>
      </c>
      <c r="M172" s="12"/>
      <c r="N172" s="12"/>
      <c r="O172" s="12"/>
      <c r="P172" s="12"/>
      <c r="Q172" s="12"/>
      <c r="R172" s="12"/>
      <c r="S172" s="14"/>
      <c r="T172" s="12"/>
      <c r="U172" s="12"/>
    </row>
    <row r="173" spans="1:21" x14ac:dyDescent="0.3">
      <c r="A173" s="5" t="s">
        <v>8</v>
      </c>
      <c r="B173" s="7">
        <v>4215.8999999999996</v>
      </c>
      <c r="C173" s="9">
        <v>40847</v>
      </c>
      <c r="D173" s="5">
        <v>17.260000000000002</v>
      </c>
      <c r="E173" s="6">
        <v>2.65</v>
      </c>
      <c r="F173" s="7">
        <v>1.45</v>
      </c>
      <c r="G173" s="6">
        <v>5758.67</v>
      </c>
      <c r="H173" s="6">
        <f t="shared" si="10"/>
        <v>244.2584009269988</v>
      </c>
      <c r="I173" s="27">
        <f t="shared" si="11"/>
        <v>333.64252607184238</v>
      </c>
      <c r="J173" s="12">
        <f t="shared" si="12"/>
        <v>4.2900302114803779E-2</v>
      </c>
      <c r="K173" s="12" cm="1">
        <f t="array" ref="K173">PRODUCT(J173:J232+1)^(1/5)-1</f>
        <v>-1.7365566588036674E-2</v>
      </c>
      <c r="L173" s="12">
        <f t="shared" si="14"/>
        <v>7.8535468140859876E-2</v>
      </c>
      <c r="M173" s="13"/>
      <c r="N173" s="13"/>
      <c r="O173" s="13"/>
      <c r="P173" s="13"/>
      <c r="Q173" s="13"/>
      <c r="R173" s="13"/>
      <c r="S173" s="14"/>
      <c r="T173" s="13"/>
      <c r="U173" s="13"/>
    </row>
    <row r="174" spans="1:21" x14ac:dyDescent="0.3">
      <c r="A174" s="2" t="s">
        <v>8</v>
      </c>
      <c r="B174" s="4">
        <v>3978.35</v>
      </c>
      <c r="C174" s="8">
        <v>40816</v>
      </c>
      <c r="D174" s="2">
        <v>16.55</v>
      </c>
      <c r="E174" s="3">
        <v>2.5099999999999998</v>
      </c>
      <c r="F174" s="4">
        <v>1.53</v>
      </c>
      <c r="G174" s="3">
        <v>5431.79</v>
      </c>
      <c r="H174" s="3">
        <f t="shared" si="10"/>
        <v>240.38368580060421</v>
      </c>
      <c r="I174" s="27">
        <f t="shared" si="11"/>
        <v>328.20483383685797</v>
      </c>
      <c r="J174" s="12">
        <f t="shared" si="12"/>
        <v>-9.5751047277079504E-3</v>
      </c>
      <c r="K174" s="12" cm="1">
        <f t="array" ref="K174">PRODUCT(J174:J233+1)^(1/5)-1</f>
        <v>-3.3164223748923694E-2</v>
      </c>
      <c r="L174" s="12">
        <f t="shared" si="14"/>
        <v>7.7750210171639411E-2</v>
      </c>
      <c r="M174" s="12"/>
      <c r="N174" s="12"/>
      <c r="O174" s="12"/>
      <c r="P174" s="12"/>
      <c r="Q174" s="12"/>
      <c r="R174" s="12"/>
      <c r="S174" s="14"/>
      <c r="T174" s="12"/>
      <c r="U174" s="12"/>
    </row>
    <row r="175" spans="1:21" x14ac:dyDescent="0.3">
      <c r="A175" s="5" t="s">
        <v>8</v>
      </c>
      <c r="B175" s="7">
        <v>4038.35</v>
      </c>
      <c r="C175" s="9">
        <v>40785</v>
      </c>
      <c r="D175" s="5">
        <v>16.71</v>
      </c>
      <c r="E175" s="6">
        <v>2.54</v>
      </c>
      <c r="F175" s="7">
        <v>1.51</v>
      </c>
      <c r="G175" s="6">
        <v>5508.31</v>
      </c>
      <c r="H175" s="6">
        <f t="shared" si="10"/>
        <v>241.67265110712145</v>
      </c>
      <c r="I175" s="27">
        <f t="shared" si="11"/>
        <v>329.64153201675646</v>
      </c>
      <c r="J175" s="12">
        <f t="shared" si="12"/>
        <v>-8.6386003280481072E-2</v>
      </c>
      <c r="K175" s="12" cm="1">
        <f t="array" ref="K175">PRODUCT(J175:J234+1)^(1/5)-1</f>
        <v>-1.5962611154566653E-2</v>
      </c>
      <c r="L175" s="12">
        <f t="shared" si="14"/>
        <v>9.6399939269908863E-2</v>
      </c>
      <c r="M175" s="13"/>
      <c r="N175" s="13"/>
      <c r="O175" s="13"/>
      <c r="P175" s="13"/>
      <c r="Q175" s="13"/>
      <c r="R175" s="13"/>
      <c r="S175" s="14"/>
      <c r="T175" s="13"/>
      <c r="U175" s="13"/>
    </row>
    <row r="176" spans="1:21" x14ac:dyDescent="0.3">
      <c r="A176" s="2" t="s">
        <v>8</v>
      </c>
      <c r="B176" s="4">
        <v>4424.05</v>
      </c>
      <c r="C176" s="8">
        <v>40753</v>
      </c>
      <c r="D176" s="2">
        <v>18.29</v>
      </c>
      <c r="E176" s="3">
        <v>2.99</v>
      </c>
      <c r="F176" s="4">
        <v>1.28</v>
      </c>
      <c r="G176" s="3">
        <v>6026.92</v>
      </c>
      <c r="H176" s="3">
        <f t="shared" si="10"/>
        <v>241.88354291962824</v>
      </c>
      <c r="I176" s="27">
        <f t="shared" si="11"/>
        <v>329.51995626025155</v>
      </c>
      <c r="J176" s="12">
        <f t="shared" si="12"/>
        <v>-3.9390756302520979E-2</v>
      </c>
      <c r="K176" s="12" cm="1">
        <f t="array" ref="K176">PRODUCT(J176:J235+1)^(1/5)-1</f>
        <v>2.031821543802681E-2</v>
      </c>
      <c r="L176" s="12">
        <f t="shared" si="14"/>
        <v>9.3017411613081968E-2</v>
      </c>
      <c r="M176" s="12"/>
      <c r="N176" s="12"/>
      <c r="O176" s="12"/>
      <c r="P176" s="12"/>
      <c r="Q176" s="12"/>
      <c r="R176" s="12"/>
      <c r="S176" s="14"/>
      <c r="T176" s="12"/>
      <c r="U176" s="12"/>
    </row>
    <row r="177" spans="1:21" x14ac:dyDescent="0.3">
      <c r="A177" s="5" t="s">
        <v>8</v>
      </c>
      <c r="B177" s="7">
        <v>4522.95</v>
      </c>
      <c r="C177" s="9">
        <v>40724</v>
      </c>
      <c r="D177" s="5">
        <v>19.04</v>
      </c>
      <c r="E177" s="6">
        <v>3.05</v>
      </c>
      <c r="F177" s="7">
        <v>1.25</v>
      </c>
      <c r="G177" s="6">
        <v>6150.71</v>
      </c>
      <c r="H177" s="6">
        <f t="shared" si="10"/>
        <v>237.54989495798318</v>
      </c>
      <c r="I177" s="27">
        <f t="shared" si="11"/>
        <v>323.04149159663865</v>
      </c>
      <c r="J177" s="12">
        <f t="shared" si="12"/>
        <v>5.8108821975699776E-3</v>
      </c>
      <c r="K177" s="12" cm="1">
        <f t="array" ref="K177">PRODUCT(J177:J236+1)^(1/5)-1</f>
        <v>1.9942218515289545E-2</v>
      </c>
      <c r="L177" s="12">
        <f t="shared" si="14"/>
        <v>8.9240046372405679E-2</v>
      </c>
      <c r="M177" s="13"/>
      <c r="N177" s="13"/>
      <c r="O177" s="13"/>
      <c r="P177" s="13"/>
      <c r="Q177" s="13"/>
      <c r="R177" s="13"/>
      <c r="S177" s="14"/>
      <c r="T177" s="13"/>
      <c r="U177" s="13"/>
    </row>
    <row r="178" spans="1:21" x14ac:dyDescent="0.3">
      <c r="A178" s="2" t="s">
        <v>8</v>
      </c>
      <c r="B178" s="4">
        <v>4492.8999999999996</v>
      </c>
      <c r="C178" s="8">
        <v>40694</v>
      </c>
      <c r="D178" s="2">
        <v>18.93</v>
      </c>
      <c r="E178" s="3">
        <v>3.12</v>
      </c>
      <c r="F178" s="4">
        <v>1.2</v>
      </c>
      <c r="G178" s="3">
        <v>6090.88</v>
      </c>
      <c r="H178" s="3">
        <f t="shared" si="10"/>
        <v>237.34284204965661</v>
      </c>
      <c r="I178" s="27">
        <f t="shared" si="11"/>
        <v>321.75805599577393</v>
      </c>
      <c r="J178" s="12">
        <f t="shared" si="12"/>
        <v>-5.017561465127951E-2</v>
      </c>
      <c r="K178" s="12" cm="1">
        <f t="array" ref="K178">PRODUCT(J178:J237+1)^(1/5)-1</f>
        <v>1.6531466510659731E-2</v>
      </c>
      <c r="L178" s="12">
        <f t="shared" si="14"/>
        <v>9.8247625019196816E-2</v>
      </c>
      <c r="M178" s="12"/>
      <c r="N178" s="12"/>
      <c r="O178" s="12"/>
      <c r="P178" s="12"/>
      <c r="Q178" s="12"/>
      <c r="R178" s="12"/>
      <c r="S178" s="14"/>
      <c r="T178" s="12"/>
      <c r="U178" s="12"/>
    </row>
    <row r="179" spans="1:21" x14ac:dyDescent="0.3">
      <c r="A179" s="5" t="s">
        <v>8</v>
      </c>
      <c r="B179" s="7">
        <v>4615.3</v>
      </c>
      <c r="C179" s="9">
        <v>40662</v>
      </c>
      <c r="D179" s="5">
        <v>19.93</v>
      </c>
      <c r="E179" s="6">
        <v>3.25</v>
      </c>
      <c r="F179" s="7">
        <v>1.1000000000000001</v>
      </c>
      <c r="G179" s="6">
        <v>6250.38</v>
      </c>
      <c r="H179" s="6">
        <f t="shared" si="10"/>
        <v>231.5755143000502</v>
      </c>
      <c r="I179" s="27">
        <f t="shared" si="11"/>
        <v>313.61665830406423</v>
      </c>
      <c r="J179" s="12">
        <f t="shared" si="12"/>
        <v>-1.189885969261284E-2</v>
      </c>
      <c r="K179" s="12" cm="1">
        <f t="array" ref="K179">PRODUCT(J179:J238+1)^(1/5)-1</f>
        <v>-8.7947223836075672E-3</v>
      </c>
      <c r="L179" s="12">
        <f t="shared" si="14"/>
        <v>8.9139375132395893E-2</v>
      </c>
      <c r="M179" s="13"/>
      <c r="N179" s="13"/>
      <c r="O179" s="13"/>
      <c r="P179" s="13"/>
      <c r="Q179" s="13"/>
      <c r="R179" s="13"/>
      <c r="S179" s="14"/>
      <c r="T179" s="13"/>
      <c r="U179" s="13"/>
    </row>
    <row r="180" spans="1:21" x14ac:dyDescent="0.3">
      <c r="A180" s="2" t="s">
        <v>8</v>
      </c>
      <c r="B180" s="4">
        <v>4626.45</v>
      </c>
      <c r="C180" s="8">
        <v>40633</v>
      </c>
      <c r="D180" s="2">
        <v>20.170000000000002</v>
      </c>
      <c r="E180" s="3">
        <v>3.22</v>
      </c>
      <c r="F180" s="4">
        <v>1.1100000000000001</v>
      </c>
      <c r="G180" s="3">
        <v>6264</v>
      </c>
      <c r="H180" s="3">
        <f t="shared" si="10"/>
        <v>229.37283093703516</v>
      </c>
      <c r="I180" s="27">
        <f t="shared" si="11"/>
        <v>310.56023797719382</v>
      </c>
      <c r="J180" s="12">
        <f t="shared" si="12"/>
        <v>9.2041147807255141E-2</v>
      </c>
      <c r="K180" s="12" cm="1">
        <f t="array" ref="K180">PRODUCT(J180:J239+1)^(1/5)-1</f>
        <v>-1.551286215893477E-2</v>
      </c>
      <c r="L180" s="12">
        <f t="shared" si="14"/>
        <v>9.2870379495906485E-2</v>
      </c>
      <c r="M180" s="12"/>
      <c r="N180" s="12"/>
      <c r="O180" s="12"/>
      <c r="P180" s="12"/>
      <c r="Q180" s="12"/>
      <c r="R180" s="12"/>
      <c r="S180" s="14"/>
      <c r="T180" s="12"/>
      <c r="U180" s="12"/>
    </row>
    <row r="181" spans="1:21" x14ac:dyDescent="0.3">
      <c r="A181" s="5" t="s">
        <v>8</v>
      </c>
      <c r="B181" s="7">
        <v>4247.1499999999996</v>
      </c>
      <c r="C181" s="9">
        <v>40602</v>
      </c>
      <c r="D181" s="5">
        <v>18.47</v>
      </c>
      <c r="E181" s="6">
        <v>2.94</v>
      </c>
      <c r="F181" s="7">
        <v>1.21</v>
      </c>
      <c r="G181" s="6">
        <v>5744.78</v>
      </c>
      <c r="H181" s="6">
        <f t="shared" si="10"/>
        <v>229.94856524093123</v>
      </c>
      <c r="I181" s="27">
        <f t="shared" si="11"/>
        <v>311.03302652950731</v>
      </c>
      <c r="J181" s="12">
        <f t="shared" si="12"/>
        <v>-3.9021852237252852E-2</v>
      </c>
      <c r="K181" s="12" cm="1">
        <f t="array" ref="K181">PRODUCT(J181:J240+1)^(1/5)-1</f>
        <v>-1.4208553570327909E-2</v>
      </c>
      <c r="L181" s="12">
        <f t="shared" si="14"/>
        <v>0.1149829589905067</v>
      </c>
      <c r="M181" s="13"/>
      <c r="N181" s="13"/>
      <c r="O181" s="13"/>
      <c r="P181" s="13"/>
      <c r="Q181" s="13"/>
      <c r="R181" s="13"/>
      <c r="S181" s="14"/>
      <c r="T181" s="13"/>
      <c r="U181" s="13"/>
    </row>
    <row r="182" spans="1:21" x14ac:dyDescent="0.3">
      <c r="A182" s="2" t="s">
        <v>8</v>
      </c>
      <c r="B182" s="4">
        <v>4424.6000000000004</v>
      </c>
      <c r="C182" s="8">
        <v>40574</v>
      </c>
      <c r="D182" s="2">
        <v>19.22</v>
      </c>
      <c r="E182" s="3">
        <v>3.05</v>
      </c>
      <c r="F182" s="4">
        <v>1.1599999999999999</v>
      </c>
      <c r="G182" s="3">
        <v>5982.33</v>
      </c>
      <c r="H182" s="3">
        <f t="shared" si="10"/>
        <v>230.20811654526537</v>
      </c>
      <c r="I182" s="27">
        <f t="shared" si="11"/>
        <v>311.25546305931323</v>
      </c>
      <c r="J182" s="12">
        <f t="shared" si="12"/>
        <v>-0.13579136690647486</v>
      </c>
      <c r="K182" s="12" cm="1">
        <f t="array" ref="K182">PRODUCT(J182:J241+1)^(1/5)-1</f>
        <v>-3.1188279277649666E-4</v>
      </c>
      <c r="L182" s="12">
        <f t="shared" si="14"/>
        <v>0.11426996864499572</v>
      </c>
      <c r="M182" s="12"/>
      <c r="N182" s="12"/>
      <c r="O182" s="12"/>
      <c r="P182" s="12"/>
      <c r="Q182" s="12"/>
      <c r="R182" s="12"/>
      <c r="S182" s="14"/>
      <c r="T182" s="12"/>
      <c r="U182" s="12"/>
    </row>
    <row r="183" spans="1:21" x14ac:dyDescent="0.3">
      <c r="A183" s="5" t="s">
        <v>8</v>
      </c>
      <c r="B183" s="7">
        <v>4940.95</v>
      </c>
      <c r="C183" s="9">
        <v>40543</v>
      </c>
      <c r="D183" s="5">
        <v>22.24</v>
      </c>
      <c r="E183" s="6">
        <v>3.4</v>
      </c>
      <c r="F183" s="7">
        <v>1.04</v>
      </c>
      <c r="G183" s="6">
        <v>6679.12</v>
      </c>
      <c r="H183" s="6">
        <f t="shared" si="10"/>
        <v>222.16501798561151</v>
      </c>
      <c r="I183" s="27">
        <f t="shared" si="11"/>
        <v>300.3201438848921</v>
      </c>
      <c r="J183" s="12">
        <f t="shared" si="12"/>
        <v>3.4418604651162754E-2</v>
      </c>
      <c r="K183" s="12" t="e" cm="1">
        <f t="array" ref="K183">PRODUCT(J183:J242+1)^(1/5)-1</f>
        <v>#DIV/0!</v>
      </c>
      <c r="L183" s="13"/>
      <c r="M183" s="13"/>
      <c r="N183" s="13"/>
      <c r="O183" s="13"/>
      <c r="P183" s="13"/>
      <c r="Q183" s="13"/>
      <c r="R183" s="13"/>
      <c r="S183" s="14"/>
      <c r="T183" s="13"/>
      <c r="U183" s="13"/>
    </row>
    <row r="184" spans="1:21" x14ac:dyDescent="0.3">
      <c r="A184" s="2" t="s">
        <v>8</v>
      </c>
      <c r="B184" s="4">
        <v>4781.3999999999996</v>
      </c>
      <c r="C184" s="8">
        <v>40512</v>
      </c>
      <c r="D184" s="2">
        <v>21.5</v>
      </c>
      <c r="E184" s="3">
        <v>3.29</v>
      </c>
      <c r="F184" s="4">
        <v>1.08</v>
      </c>
      <c r="G184" s="3">
        <v>6461.2</v>
      </c>
      <c r="H184" s="3">
        <f t="shared" si="10"/>
        <v>222.39069767441859</v>
      </c>
      <c r="I184" s="27">
        <f t="shared" si="11"/>
        <v>300.52093023255816</v>
      </c>
      <c r="J184" s="12">
        <f t="shared" si="12"/>
        <v>-6.4810787298825501E-2</v>
      </c>
      <c r="K184" s="12" t="e" cm="1">
        <f t="array" ref="K184">PRODUCT(J184:J243+1)^(1/5)-1</f>
        <v>#DIV/0!</v>
      </c>
      <c r="L184" s="12"/>
      <c r="M184" s="12"/>
      <c r="N184" s="12"/>
      <c r="O184" s="12"/>
      <c r="P184" s="12"/>
      <c r="Q184" s="12"/>
      <c r="R184" s="12"/>
      <c r="S184" s="14"/>
      <c r="T184" s="12"/>
      <c r="U184" s="12"/>
    </row>
    <row r="185" spans="1:21" x14ac:dyDescent="0.3">
      <c r="A185" s="5" t="s">
        <v>8</v>
      </c>
      <c r="B185" s="7">
        <v>4972.95</v>
      </c>
      <c r="C185" s="9">
        <v>40480</v>
      </c>
      <c r="D185" s="5">
        <v>22.99</v>
      </c>
      <c r="E185" s="6">
        <v>3.41</v>
      </c>
      <c r="F185" s="7">
        <v>1.04</v>
      </c>
      <c r="G185" s="6">
        <v>6718.49</v>
      </c>
      <c r="H185" s="6">
        <f t="shared" si="10"/>
        <v>216.30926489778165</v>
      </c>
      <c r="I185" s="27">
        <f t="shared" si="11"/>
        <v>292.23531970421925</v>
      </c>
      <c r="J185" s="12">
        <f t="shared" si="12"/>
        <v>6.5674255691767769E-3</v>
      </c>
      <c r="K185" s="12" t="e" cm="1">
        <f t="array" ref="K185">PRODUCT(J185:J244+1)^(1/5)-1</f>
        <v>#DIV/0!</v>
      </c>
      <c r="L185" s="13"/>
      <c r="M185" s="13"/>
      <c r="N185" s="13"/>
      <c r="O185" s="13"/>
      <c r="P185" s="13"/>
      <c r="Q185" s="13"/>
      <c r="R185" s="13"/>
      <c r="S185" s="14"/>
      <c r="T185" s="13"/>
      <c r="U185" s="13"/>
    </row>
    <row r="186" spans="1:21" x14ac:dyDescent="0.3">
      <c r="A186" s="2" t="s">
        <v>8</v>
      </c>
      <c r="B186" s="4">
        <v>4925.1499999999996</v>
      </c>
      <c r="C186" s="8">
        <v>40451</v>
      </c>
      <c r="D186" s="2">
        <v>22.84</v>
      </c>
      <c r="E186" s="3">
        <v>3.44</v>
      </c>
      <c r="F186" s="4">
        <v>1.05</v>
      </c>
      <c r="G186" s="3">
        <v>6649.82</v>
      </c>
      <c r="H186" s="3">
        <f t="shared" si="10"/>
        <v>215.63704028021013</v>
      </c>
      <c r="I186" s="27">
        <f t="shared" si="11"/>
        <v>291.1479859894921</v>
      </c>
      <c r="J186" s="12">
        <f t="shared" si="12"/>
        <v>9.125656951743899E-2</v>
      </c>
      <c r="K186" s="12" t="e" cm="1">
        <f t="array" ref="K186">PRODUCT(J186:J245+1)^(1/5)-1</f>
        <v>#DIV/0!</v>
      </c>
      <c r="L186" s="12"/>
      <c r="M186" s="12"/>
      <c r="N186" s="12"/>
      <c r="O186" s="12"/>
      <c r="P186" s="12"/>
      <c r="Q186" s="12"/>
      <c r="R186" s="12"/>
      <c r="S186" s="14"/>
      <c r="T186" s="12"/>
      <c r="U186" s="12"/>
    </row>
    <row r="187" spans="1:21" x14ac:dyDescent="0.3">
      <c r="A187" s="5" t="s">
        <v>8</v>
      </c>
      <c r="B187" s="7">
        <v>4537.25</v>
      </c>
      <c r="C187" s="9">
        <v>40421</v>
      </c>
      <c r="D187" s="5">
        <v>20.93</v>
      </c>
      <c r="E187" s="6">
        <v>3.21</v>
      </c>
      <c r="F187" s="7">
        <v>1.1200000000000001</v>
      </c>
      <c r="G187" s="6">
        <v>6115.32</v>
      </c>
      <c r="H187" s="6">
        <f t="shared" si="10"/>
        <v>216.78213091256569</v>
      </c>
      <c r="I187" s="27">
        <f t="shared" si="11"/>
        <v>292.17964644051602</v>
      </c>
      <c r="J187" s="12">
        <f t="shared" si="12"/>
        <v>5.0702811244979884E-2</v>
      </c>
      <c r="K187" s="12" t="e" cm="1">
        <f t="array" ref="K187">PRODUCT(J187:J246+1)^(1/5)-1</f>
        <v>#DIV/0!</v>
      </c>
      <c r="L187" s="13"/>
      <c r="M187" s="13"/>
      <c r="N187" s="13"/>
      <c r="O187" s="13"/>
      <c r="P187" s="13"/>
      <c r="Q187" s="13"/>
      <c r="R187" s="13"/>
      <c r="S187" s="14"/>
      <c r="T187" s="13"/>
      <c r="U187" s="13"/>
    </row>
    <row r="188" spans="1:21" x14ac:dyDescent="0.3">
      <c r="A188" s="2" t="s">
        <v>8</v>
      </c>
      <c r="B188" s="4">
        <v>4475.1499999999996</v>
      </c>
      <c r="C188" s="8">
        <v>40389</v>
      </c>
      <c r="D188" s="2">
        <v>19.920000000000002</v>
      </c>
      <c r="E188" s="3">
        <v>3.38</v>
      </c>
      <c r="F188" s="4">
        <v>1.02</v>
      </c>
      <c r="G188" s="3">
        <v>6027.16</v>
      </c>
      <c r="H188" s="3">
        <f t="shared" si="10"/>
        <v>224.65612449799193</v>
      </c>
      <c r="I188" s="27">
        <f t="shared" si="11"/>
        <v>302.56827309236945</v>
      </c>
      <c r="J188" s="12">
        <f t="shared" si="12"/>
        <v>8.0971659919029104E-3</v>
      </c>
      <c r="K188" s="12" t="e" cm="1">
        <f t="array" ref="K188">PRODUCT(J188:J247+1)^(1/5)-1</f>
        <v>#DIV/0!</v>
      </c>
      <c r="L188" s="12"/>
      <c r="M188" s="12"/>
      <c r="N188" s="12"/>
      <c r="O188" s="12"/>
      <c r="P188" s="12"/>
      <c r="Q188" s="12"/>
      <c r="R188" s="12"/>
      <c r="S188" s="14"/>
      <c r="T188" s="12"/>
      <c r="U188" s="12"/>
    </row>
    <row r="189" spans="1:21" x14ac:dyDescent="0.3">
      <c r="A189" s="5" t="s">
        <v>8</v>
      </c>
      <c r="B189" s="7">
        <v>4420.7</v>
      </c>
      <c r="C189" s="9">
        <v>40359</v>
      </c>
      <c r="D189" s="5">
        <v>19.760000000000002</v>
      </c>
      <c r="E189" s="6">
        <v>3.37</v>
      </c>
      <c r="F189" s="7">
        <v>0.98</v>
      </c>
      <c r="G189" s="6">
        <v>5944.93</v>
      </c>
      <c r="H189" s="6">
        <f t="shared" si="10"/>
        <v>223.71963562753035</v>
      </c>
      <c r="I189" s="27">
        <f t="shared" si="11"/>
        <v>300.8567813765182</v>
      </c>
      <c r="J189" s="12">
        <f t="shared" si="12"/>
        <v>4.1644702161307556E-2</v>
      </c>
      <c r="K189" s="12" t="e" cm="1">
        <f t="array" ref="K189">PRODUCT(J189:J248+1)^(1/5)-1</f>
        <v>#DIV/0!</v>
      </c>
      <c r="L189" s="13"/>
      <c r="M189" s="13"/>
      <c r="N189" s="13"/>
      <c r="O189" s="13"/>
      <c r="P189" s="13"/>
      <c r="Q189" s="13"/>
      <c r="R189" s="13"/>
      <c r="S189" s="14"/>
      <c r="T189" s="13"/>
      <c r="U189" s="13"/>
    </row>
    <row r="190" spans="1:21" x14ac:dyDescent="0.3">
      <c r="A190" s="2" t="s">
        <v>8</v>
      </c>
      <c r="B190" s="4">
        <v>4226.6000000000004</v>
      </c>
      <c r="C190" s="8">
        <v>40329</v>
      </c>
      <c r="D190" s="2">
        <v>18.97</v>
      </c>
      <c r="E190" s="3">
        <v>3.22</v>
      </c>
      <c r="F190" s="4">
        <v>1.02</v>
      </c>
      <c r="G190" s="3">
        <v>5670.98</v>
      </c>
      <c r="H190" s="3">
        <f t="shared" si="10"/>
        <v>222.80442804428048</v>
      </c>
      <c r="I190" s="27">
        <f t="shared" si="11"/>
        <v>298.94464944649445</v>
      </c>
      <c r="J190" s="12">
        <f t="shared" si="12"/>
        <v>-1.0432968179447166E-2</v>
      </c>
      <c r="K190" s="12" t="e" cm="1">
        <f t="array" ref="K190">PRODUCT(J190:J249+1)^(1/5)-1</f>
        <v>#DIV/0!</v>
      </c>
      <c r="L190" s="12"/>
      <c r="M190" s="12"/>
      <c r="N190" s="12"/>
      <c r="O190" s="12"/>
      <c r="P190" s="12"/>
      <c r="Q190" s="12"/>
      <c r="R190" s="12"/>
      <c r="S190" s="14"/>
      <c r="T190" s="12"/>
      <c r="U190" s="12"/>
    </row>
    <row r="191" spans="1:21" x14ac:dyDescent="0.3">
      <c r="A191" s="5" t="s">
        <v>8</v>
      </c>
      <c r="B191" s="7">
        <v>4368.1000000000004</v>
      </c>
      <c r="C191" s="9">
        <v>40298</v>
      </c>
      <c r="D191" s="5">
        <v>19.170000000000002</v>
      </c>
      <c r="E191" s="6">
        <v>3.31</v>
      </c>
      <c r="F191" s="7">
        <v>1</v>
      </c>
      <c r="G191" s="6">
        <v>5856.5</v>
      </c>
      <c r="H191" s="6">
        <f t="shared" si="10"/>
        <v>227.86124152321335</v>
      </c>
      <c r="I191" s="27">
        <f t="shared" si="11"/>
        <v>305.50339071465828</v>
      </c>
      <c r="J191" s="12">
        <f t="shared" si="12"/>
        <v>-1.2364760432766575E-2</v>
      </c>
      <c r="K191" s="12" t="e" cm="1">
        <f t="array" ref="K191">PRODUCT(J191:J250+1)^(1/5)-1</f>
        <v>#DIV/0!</v>
      </c>
      <c r="L191" s="13"/>
      <c r="M191" s="13"/>
      <c r="N191" s="13"/>
      <c r="O191" s="13"/>
      <c r="P191" s="13"/>
      <c r="Q191" s="13"/>
      <c r="R191" s="13"/>
      <c r="S191" s="14"/>
      <c r="T191" s="13"/>
      <c r="U191" s="13"/>
    </row>
    <row r="192" spans="1:21" x14ac:dyDescent="0.3">
      <c r="A192" s="2" t="s">
        <v>8</v>
      </c>
      <c r="B192" s="4">
        <v>4313.25</v>
      </c>
      <c r="C192" s="8">
        <v>40268</v>
      </c>
      <c r="D192" s="2">
        <v>19.41</v>
      </c>
      <c r="E192" s="3">
        <v>3.27</v>
      </c>
      <c r="F192" s="4">
        <v>1.01</v>
      </c>
      <c r="G192" s="3">
        <v>5781.09</v>
      </c>
      <c r="H192" s="3">
        <f t="shared" si="10"/>
        <v>222.21792890262751</v>
      </c>
      <c r="I192" s="27">
        <f t="shared" si="11"/>
        <v>297.84080370942814</v>
      </c>
      <c r="J192" s="12">
        <f t="shared" si="12"/>
        <v>4.6925566343042124E-2</v>
      </c>
      <c r="K192" s="12" t="e" cm="1">
        <f t="array" ref="K192">PRODUCT(J192:J251+1)^(1/5)-1</f>
        <v>#DIV/0!</v>
      </c>
      <c r="L192" s="12"/>
      <c r="M192" s="12"/>
      <c r="N192" s="12"/>
      <c r="O192" s="12"/>
      <c r="P192" s="12"/>
      <c r="Q192" s="12"/>
      <c r="R192" s="12"/>
      <c r="S192" s="14"/>
      <c r="T192" s="12"/>
      <c r="U192" s="12"/>
    </row>
    <row r="193" spans="1:21" x14ac:dyDescent="0.3">
      <c r="A193" s="5" t="s">
        <v>8</v>
      </c>
      <c r="B193" s="7">
        <v>4127.55</v>
      </c>
      <c r="C193" s="9">
        <v>40235</v>
      </c>
      <c r="D193" s="5">
        <v>18.54</v>
      </c>
      <c r="E193" s="6">
        <v>3.12</v>
      </c>
      <c r="F193" s="7">
        <v>1.06</v>
      </c>
      <c r="G193" s="6">
        <v>5529.01</v>
      </c>
      <c r="H193" s="6">
        <f t="shared" si="10"/>
        <v>222.62944983818772</v>
      </c>
      <c r="I193" s="27">
        <f t="shared" si="11"/>
        <v>298.22060409924489</v>
      </c>
      <c r="J193" s="12">
        <f t="shared" si="12"/>
        <v>-6.9630423138726805E-3</v>
      </c>
      <c r="K193" s="12" t="e" cm="1">
        <f t="array" ref="K193">PRODUCT(J193:J252+1)^(1/5)-1</f>
        <v>#DIV/0!</v>
      </c>
      <c r="L193" s="13"/>
      <c r="M193" s="13"/>
      <c r="N193" s="13"/>
      <c r="O193" s="13"/>
      <c r="P193" s="13"/>
      <c r="Q193" s="13"/>
      <c r="R193" s="13"/>
      <c r="S193" s="14"/>
      <c r="T193" s="13"/>
      <c r="U193" s="13"/>
    </row>
    <row r="194" spans="1:21" x14ac:dyDescent="0.3">
      <c r="A194" s="2" t="s">
        <v>8</v>
      </c>
      <c r="B194" s="4">
        <v>4156.05</v>
      </c>
      <c r="C194" s="8">
        <v>40207</v>
      </c>
      <c r="D194" s="2">
        <v>18.670000000000002</v>
      </c>
      <c r="E194" s="3">
        <v>3.14</v>
      </c>
      <c r="F194" s="4">
        <v>1.05</v>
      </c>
      <c r="G194" s="3">
        <v>5563.86</v>
      </c>
      <c r="H194" s="3">
        <f t="shared" ref="H194:H242" si="15">B194/D194</f>
        <v>222.60578468130689</v>
      </c>
      <c r="I194" s="27">
        <f t="shared" ref="I194:I242" si="16">G194/D194</f>
        <v>298.01071237279052</v>
      </c>
      <c r="J194" s="12">
        <f t="shared" si="12"/>
        <v>-0.10153994225216556</v>
      </c>
      <c r="K194" s="12" t="e" cm="1">
        <f t="array" ref="K194">PRODUCT(J194:J253+1)^(1/5)-1</f>
        <v>#DIV/0!</v>
      </c>
      <c r="L194" s="12"/>
      <c r="M194" s="12"/>
      <c r="N194" s="12"/>
      <c r="O194" s="12"/>
      <c r="P194" s="12"/>
      <c r="Q194" s="12"/>
      <c r="R194" s="12"/>
      <c r="S194" s="14"/>
      <c r="T194" s="12"/>
      <c r="U194" s="12"/>
    </row>
    <row r="195" spans="1:21" x14ac:dyDescent="0.3">
      <c r="A195" s="5" t="s">
        <v>8</v>
      </c>
      <c r="B195" s="7">
        <v>4329.1000000000004</v>
      </c>
      <c r="C195" s="9">
        <v>40178</v>
      </c>
      <c r="D195" s="5">
        <v>20.78</v>
      </c>
      <c r="E195" s="6">
        <v>3.27</v>
      </c>
      <c r="F195" s="7">
        <v>1.01</v>
      </c>
      <c r="G195" s="6">
        <v>5794.34</v>
      </c>
      <c r="H195" s="6">
        <f t="shared" si="15"/>
        <v>208.330125120308</v>
      </c>
      <c r="I195" s="27">
        <f t="shared" si="16"/>
        <v>278.84215591915302</v>
      </c>
      <c r="J195" s="12">
        <f t="shared" ref="J195:J243" si="17">D195/D196-1</f>
        <v>4.5271629778672162E-2</v>
      </c>
      <c r="K195" s="12" t="e" cm="1">
        <f t="array" ref="K195">PRODUCT(J195:J254+1)^(1/5)-1</f>
        <v>#DIV/0!</v>
      </c>
      <c r="L195" s="13"/>
      <c r="M195" s="13"/>
      <c r="N195" s="13"/>
      <c r="O195" s="13"/>
      <c r="P195" s="13"/>
      <c r="Q195" s="13"/>
      <c r="R195" s="13"/>
      <c r="S195" s="14"/>
      <c r="T195" s="13"/>
      <c r="U195" s="13"/>
    </row>
    <row r="196" spans="1:21" x14ac:dyDescent="0.3">
      <c r="A196" s="2" t="s">
        <v>8</v>
      </c>
      <c r="B196" s="4">
        <v>4145.45</v>
      </c>
      <c r="C196" s="8">
        <v>40147</v>
      </c>
      <c r="D196" s="2">
        <v>19.88</v>
      </c>
      <c r="E196" s="3">
        <v>3.16</v>
      </c>
      <c r="F196" s="4">
        <v>1.06</v>
      </c>
      <c r="G196" s="3">
        <v>5544.82</v>
      </c>
      <c r="H196" s="3">
        <f t="shared" si="15"/>
        <v>208.52364185110665</v>
      </c>
      <c r="I196" s="27">
        <f t="shared" si="16"/>
        <v>278.91448692152915</v>
      </c>
      <c r="J196" s="12">
        <f t="shared" si="17"/>
        <v>9.2908191313908706E-2</v>
      </c>
      <c r="K196" s="12" t="e" cm="1">
        <f t="array" ref="K196">PRODUCT(J196:J255+1)^(1/5)-1</f>
        <v>#DIV/0!</v>
      </c>
      <c r="L196" s="12"/>
      <c r="M196" s="12"/>
      <c r="N196" s="12"/>
      <c r="O196" s="12"/>
      <c r="P196" s="12"/>
      <c r="Q196" s="12"/>
      <c r="R196" s="12"/>
      <c r="S196" s="14"/>
      <c r="T196" s="12"/>
      <c r="U196" s="12"/>
    </row>
    <row r="197" spans="1:21" x14ac:dyDescent="0.3">
      <c r="A197" s="5" t="s">
        <v>8</v>
      </c>
      <c r="B197" s="7">
        <v>3853.15</v>
      </c>
      <c r="C197" s="9">
        <v>40116</v>
      </c>
      <c r="D197" s="5">
        <v>18.190000000000001</v>
      </c>
      <c r="E197" s="6">
        <v>3.03</v>
      </c>
      <c r="F197" s="7">
        <v>1.1499999999999999</v>
      </c>
      <c r="G197" s="6">
        <v>5152.97</v>
      </c>
      <c r="H197" s="6">
        <f t="shared" si="15"/>
        <v>211.82792743265529</v>
      </c>
      <c r="I197" s="27">
        <f t="shared" si="16"/>
        <v>283.28587135788894</v>
      </c>
      <c r="J197" s="12">
        <f t="shared" si="17"/>
        <v>-0.13463368220742145</v>
      </c>
      <c r="K197" s="12" t="e" cm="1">
        <f t="array" ref="K197">PRODUCT(J197:J256+1)^(1/5)-1</f>
        <v>#DIV/0!</v>
      </c>
      <c r="L197" s="13"/>
      <c r="M197" s="13"/>
      <c r="N197" s="13"/>
      <c r="O197" s="13"/>
      <c r="P197" s="13"/>
      <c r="Q197" s="13"/>
      <c r="R197" s="13"/>
      <c r="S197" s="14"/>
      <c r="T197" s="13"/>
      <c r="U197" s="13"/>
    </row>
    <row r="198" spans="1:21" x14ac:dyDescent="0.3">
      <c r="A198" s="2" t="s">
        <v>8</v>
      </c>
      <c r="B198" s="4">
        <v>4118.6499999999996</v>
      </c>
      <c r="C198" s="8">
        <v>40086</v>
      </c>
      <c r="D198" s="2">
        <v>21.02</v>
      </c>
      <c r="E198" s="3">
        <v>3.24</v>
      </c>
      <c r="F198" s="4">
        <v>1.0900000000000001</v>
      </c>
      <c r="G198" s="3">
        <v>5505.04</v>
      </c>
      <c r="H198" s="3">
        <f t="shared" si="15"/>
        <v>195.93958135109418</v>
      </c>
      <c r="I198" s="27">
        <f t="shared" si="16"/>
        <v>261.89533777354899</v>
      </c>
      <c r="J198" s="12">
        <f t="shared" si="17"/>
        <v>7.4642126789365992E-2</v>
      </c>
      <c r="K198" s="12" t="e" cm="1">
        <f t="array" ref="K198">PRODUCT(J198:J257+1)^(1/5)-1</f>
        <v>#DIV/0!</v>
      </c>
      <c r="L198" s="12"/>
      <c r="M198" s="12"/>
      <c r="N198" s="12"/>
      <c r="O198" s="12"/>
      <c r="P198" s="12"/>
      <c r="Q198" s="12"/>
      <c r="R198" s="12"/>
      <c r="S198" s="14"/>
      <c r="T198" s="12"/>
      <c r="U198" s="12"/>
    </row>
    <row r="199" spans="1:21" x14ac:dyDescent="0.3">
      <c r="A199" s="5" t="s">
        <v>8</v>
      </c>
      <c r="B199" s="7">
        <v>3840.25</v>
      </c>
      <c r="C199" s="9">
        <v>40056</v>
      </c>
      <c r="D199" s="5">
        <v>19.559999999999999</v>
      </c>
      <c r="E199" s="6">
        <v>3.19</v>
      </c>
      <c r="F199" s="7">
        <v>1.18</v>
      </c>
      <c r="G199" s="6">
        <v>5125.18</v>
      </c>
      <c r="H199" s="6">
        <f t="shared" si="15"/>
        <v>196.33179959100207</v>
      </c>
      <c r="I199" s="27">
        <f t="shared" si="16"/>
        <v>262.0235173824131</v>
      </c>
      <c r="J199" s="12">
        <f t="shared" si="17"/>
        <v>2.9473684210526319E-2</v>
      </c>
      <c r="K199" s="12" t="e" cm="1">
        <f t="array" ref="K199">PRODUCT(J199:J258+1)^(1/5)-1</f>
        <v>#DIV/0!</v>
      </c>
      <c r="L199" s="13"/>
      <c r="M199" s="13"/>
      <c r="N199" s="13"/>
      <c r="O199" s="13"/>
      <c r="P199" s="13"/>
      <c r="Q199" s="13"/>
      <c r="R199" s="13"/>
      <c r="S199" s="14"/>
      <c r="T199" s="13"/>
      <c r="U199" s="13"/>
    </row>
    <row r="200" spans="1:21" x14ac:dyDescent="0.3">
      <c r="A200" s="2" t="s">
        <v>8</v>
      </c>
      <c r="B200" s="4">
        <v>3764.1</v>
      </c>
      <c r="C200" s="8">
        <v>40025</v>
      </c>
      <c r="D200" s="2">
        <v>19</v>
      </c>
      <c r="E200" s="3">
        <v>3.2</v>
      </c>
      <c r="F200" s="4">
        <v>1.22</v>
      </c>
      <c r="G200" s="3">
        <v>5017.07</v>
      </c>
      <c r="H200" s="3">
        <f t="shared" si="15"/>
        <v>198.11052631578946</v>
      </c>
      <c r="I200" s="27">
        <f t="shared" si="16"/>
        <v>264.05631578947367</v>
      </c>
      <c r="J200" s="12">
        <f t="shared" si="17"/>
        <v>2.9810298102981081E-2</v>
      </c>
      <c r="K200" s="12" t="e" cm="1">
        <f t="array" ref="K200">PRODUCT(J200:J259+1)^(1/5)-1</f>
        <v>#DIV/0!</v>
      </c>
      <c r="L200" s="12"/>
      <c r="M200" s="12"/>
      <c r="N200" s="12"/>
      <c r="O200" s="12"/>
      <c r="P200" s="12"/>
      <c r="Q200" s="12"/>
      <c r="R200" s="12"/>
      <c r="S200" s="14"/>
      <c r="T200" s="12"/>
      <c r="U200" s="12"/>
    </row>
    <row r="201" spans="1:21" x14ac:dyDescent="0.3">
      <c r="A201" s="5" t="s">
        <v>8</v>
      </c>
      <c r="B201" s="7">
        <v>3469.7</v>
      </c>
      <c r="C201" s="9">
        <v>39994</v>
      </c>
      <c r="D201" s="5">
        <v>18.45</v>
      </c>
      <c r="E201" s="6">
        <v>3.04</v>
      </c>
      <c r="F201" s="7">
        <v>1.3</v>
      </c>
      <c r="G201" s="6">
        <v>4612.22</v>
      </c>
      <c r="H201" s="6">
        <f t="shared" si="15"/>
        <v>188.05962059620595</v>
      </c>
      <c r="I201" s="27">
        <f t="shared" si="16"/>
        <v>249.98482384823851</v>
      </c>
      <c r="J201" s="12">
        <f t="shared" si="17"/>
        <v>-6.4875823618854578E-2</v>
      </c>
      <c r="K201" s="12" t="e" cm="1">
        <f t="array" ref="K201">PRODUCT(J201:J260+1)^(1/5)-1</f>
        <v>#DIV/0!</v>
      </c>
      <c r="L201" s="13"/>
      <c r="M201" s="13"/>
      <c r="N201" s="13"/>
      <c r="O201" s="13"/>
      <c r="P201" s="13"/>
      <c r="Q201" s="13"/>
      <c r="R201" s="13"/>
      <c r="S201" s="14"/>
      <c r="T201" s="13"/>
      <c r="U201" s="13"/>
    </row>
    <row r="202" spans="1:21" x14ac:dyDescent="0.3">
      <c r="A202" s="2" t="s">
        <v>8</v>
      </c>
      <c r="B202" s="4">
        <v>3579.9</v>
      </c>
      <c r="C202" s="8">
        <v>39962</v>
      </c>
      <c r="D202" s="2">
        <v>19.73</v>
      </c>
      <c r="E202" s="3">
        <v>3.16</v>
      </c>
      <c r="F202" s="4">
        <v>1.25</v>
      </c>
      <c r="G202" s="3">
        <v>4748.5200000000004</v>
      </c>
      <c r="H202" s="3">
        <f t="shared" si="15"/>
        <v>181.44450076026357</v>
      </c>
      <c r="I202" s="27">
        <f t="shared" si="16"/>
        <v>240.67511403953372</v>
      </c>
      <c r="J202" s="12">
        <f t="shared" si="17"/>
        <v>0.29123036649214673</v>
      </c>
      <c r="K202" s="12" t="e" cm="1">
        <f t="array" ref="K202">PRODUCT(J202:J261+1)^(1/5)-1</f>
        <v>#DIV/0!</v>
      </c>
      <c r="L202" s="12"/>
      <c r="M202" s="12"/>
      <c r="N202" s="12"/>
      <c r="O202" s="12"/>
      <c r="P202" s="12"/>
      <c r="Q202" s="12"/>
      <c r="R202" s="12"/>
      <c r="S202" s="14"/>
      <c r="T202" s="12"/>
      <c r="U202" s="12"/>
    </row>
    <row r="203" spans="1:21" x14ac:dyDescent="0.3">
      <c r="A203" s="5" t="s">
        <v>8</v>
      </c>
      <c r="B203" s="7">
        <v>2662.95</v>
      </c>
      <c r="C203" s="9">
        <v>39932</v>
      </c>
      <c r="D203" s="5">
        <v>15.28</v>
      </c>
      <c r="E203" s="6">
        <v>2.37</v>
      </c>
      <c r="F203" s="7">
        <v>1.69</v>
      </c>
      <c r="G203" s="6">
        <v>3531.14</v>
      </c>
      <c r="H203" s="6">
        <f t="shared" si="15"/>
        <v>174.27683246073298</v>
      </c>
      <c r="I203" s="27">
        <f t="shared" si="16"/>
        <v>231.09554973821989</v>
      </c>
      <c r="J203" s="12">
        <f t="shared" si="17"/>
        <v>0.16374714394516365</v>
      </c>
      <c r="K203" s="12" t="e" cm="1">
        <f t="array" ref="K203">PRODUCT(J203:J262+1)^(1/5)-1</f>
        <v>#DIV/0!</v>
      </c>
      <c r="L203" s="13"/>
      <c r="M203" s="13"/>
      <c r="N203" s="13"/>
      <c r="O203" s="13"/>
      <c r="P203" s="13"/>
      <c r="Q203" s="13"/>
      <c r="R203" s="13"/>
      <c r="S203" s="14"/>
      <c r="T203" s="13"/>
      <c r="U203" s="13"/>
    </row>
    <row r="204" spans="1:21" x14ac:dyDescent="0.3">
      <c r="A204" s="2" t="s">
        <v>8</v>
      </c>
      <c r="B204" s="4">
        <v>2294.85</v>
      </c>
      <c r="C204" s="8">
        <v>39903</v>
      </c>
      <c r="D204" s="2">
        <v>13.13</v>
      </c>
      <c r="E204" s="3">
        <v>2.04</v>
      </c>
      <c r="F204" s="4">
        <v>1.98</v>
      </c>
      <c r="G204" s="3">
        <v>3042.29</v>
      </c>
      <c r="H204" s="3">
        <f t="shared" si="15"/>
        <v>174.77913175932977</v>
      </c>
      <c r="I204" s="27">
        <f t="shared" si="16"/>
        <v>231.70525514089869</v>
      </c>
      <c r="J204" s="12">
        <f t="shared" si="17"/>
        <v>8.6920529801324475E-2</v>
      </c>
      <c r="K204" s="12" t="e" cm="1">
        <f t="array" ref="K204">PRODUCT(J204:J263+1)^(1/5)-1</f>
        <v>#DIV/0!</v>
      </c>
      <c r="L204" s="12"/>
      <c r="M204" s="12"/>
      <c r="N204" s="12"/>
      <c r="O204" s="12"/>
      <c r="P204" s="12"/>
      <c r="Q204" s="12"/>
      <c r="R204" s="12"/>
      <c r="S204" s="14"/>
      <c r="T204" s="12"/>
      <c r="U204" s="12"/>
    </row>
    <row r="205" spans="1:21" x14ac:dyDescent="0.3">
      <c r="A205" s="5" t="s">
        <v>8</v>
      </c>
      <c r="B205" s="7">
        <v>2112.85</v>
      </c>
      <c r="C205" s="9">
        <v>39871</v>
      </c>
      <c r="D205" s="5">
        <v>12.08</v>
      </c>
      <c r="E205" s="6">
        <v>1.88</v>
      </c>
      <c r="F205" s="7">
        <v>2.15</v>
      </c>
      <c r="G205" s="6">
        <v>2799.86</v>
      </c>
      <c r="H205" s="6">
        <f t="shared" si="15"/>
        <v>174.9048013245033</v>
      </c>
      <c r="I205" s="27">
        <f t="shared" si="16"/>
        <v>231.77649006622516</v>
      </c>
      <c r="J205" s="12">
        <f t="shared" si="17"/>
        <v>-5.7613168724279795E-3</v>
      </c>
      <c r="K205" s="12" t="e" cm="1">
        <f t="array" ref="K205">PRODUCT(J205:J264+1)^(1/5)-1</f>
        <v>#DIV/0!</v>
      </c>
      <c r="L205" s="13"/>
      <c r="M205" s="13"/>
      <c r="N205" s="13"/>
      <c r="O205" s="13"/>
      <c r="P205" s="13"/>
      <c r="Q205" s="13"/>
      <c r="R205" s="13"/>
      <c r="S205" s="14"/>
      <c r="T205" s="13"/>
      <c r="U205" s="13"/>
    </row>
    <row r="206" spans="1:21" x14ac:dyDescent="0.3">
      <c r="A206" s="2" t="s">
        <v>8</v>
      </c>
      <c r="B206" s="4">
        <v>2209.0500000000002</v>
      </c>
      <c r="C206" s="8">
        <v>39843</v>
      </c>
      <c r="D206" s="2">
        <v>12.15</v>
      </c>
      <c r="E206" s="3">
        <v>1.98</v>
      </c>
      <c r="F206" s="4">
        <v>2.06</v>
      </c>
      <c r="G206" s="3">
        <v>2924.48</v>
      </c>
      <c r="H206" s="3">
        <f t="shared" si="15"/>
        <v>181.81481481481484</v>
      </c>
      <c r="I206" s="27">
        <f t="shared" si="16"/>
        <v>240.69794238683127</v>
      </c>
      <c r="J206" s="12">
        <f t="shared" si="17"/>
        <v>2.9661016949152463E-2</v>
      </c>
      <c r="K206" s="12" t="e" cm="1">
        <f t="array" ref="K206">PRODUCT(J206:J265+1)^(1/5)-1</f>
        <v>#DIV/0!</v>
      </c>
      <c r="L206" s="12"/>
      <c r="M206" s="12"/>
      <c r="N206" s="12"/>
      <c r="O206" s="12"/>
      <c r="P206" s="12"/>
      <c r="Q206" s="12"/>
      <c r="R206" s="12"/>
      <c r="S206" s="14"/>
      <c r="T206" s="12"/>
      <c r="U206" s="12"/>
    </row>
    <row r="207" spans="1:21" x14ac:dyDescent="0.3">
      <c r="A207" s="5" t="s">
        <v>8</v>
      </c>
      <c r="B207" s="7">
        <v>2295.75</v>
      </c>
      <c r="C207" s="9">
        <v>39813</v>
      </c>
      <c r="D207" s="5">
        <v>11.8</v>
      </c>
      <c r="E207" s="6">
        <v>2.06</v>
      </c>
      <c r="F207" s="7">
        <v>2.02</v>
      </c>
      <c r="G207" s="6">
        <v>3034.27</v>
      </c>
      <c r="H207" s="6">
        <f t="shared" si="15"/>
        <v>194.55508474576271</v>
      </c>
      <c r="I207" s="27">
        <f t="shared" si="16"/>
        <v>257.14152542372881</v>
      </c>
      <c r="J207" s="12">
        <f t="shared" si="17"/>
        <v>9.9720410065237575E-2</v>
      </c>
      <c r="K207" s="12" t="e" cm="1">
        <f t="array" ref="K207">PRODUCT(J207:J266+1)^(1/5)-1</f>
        <v>#DIV/0!</v>
      </c>
      <c r="L207" s="13"/>
      <c r="M207" s="13"/>
      <c r="N207" s="13"/>
      <c r="O207" s="13"/>
      <c r="P207" s="13"/>
      <c r="Q207" s="13"/>
      <c r="R207" s="13"/>
      <c r="S207" s="14"/>
      <c r="T207" s="13"/>
      <c r="U207" s="13"/>
    </row>
    <row r="208" spans="1:21" x14ac:dyDescent="0.3">
      <c r="A208" s="2" t="s">
        <v>8</v>
      </c>
      <c r="B208" s="4">
        <v>2093.1</v>
      </c>
      <c r="C208" s="8">
        <v>39780</v>
      </c>
      <c r="D208" s="2">
        <v>10.73</v>
      </c>
      <c r="E208" s="3">
        <v>1.89</v>
      </c>
      <c r="F208" s="4">
        <v>2.21</v>
      </c>
      <c r="G208" s="3">
        <v>2762.29</v>
      </c>
      <c r="H208" s="3">
        <f t="shared" si="15"/>
        <v>195.06989748369057</v>
      </c>
      <c r="I208" s="27">
        <f t="shared" si="16"/>
        <v>257.43616029822925</v>
      </c>
      <c r="J208" s="12">
        <f t="shared" si="17"/>
        <v>-3.7668161434977532E-2</v>
      </c>
      <c r="K208" s="12" t="e" cm="1">
        <f t="array" ref="K208">PRODUCT(J208:J267+1)^(1/5)-1</f>
        <v>#DIV/0!</v>
      </c>
      <c r="L208" s="12"/>
      <c r="M208" s="12"/>
      <c r="N208" s="12"/>
      <c r="O208" s="12"/>
      <c r="P208" s="12"/>
      <c r="Q208" s="12"/>
      <c r="R208" s="12"/>
      <c r="S208" s="14"/>
      <c r="T208" s="12"/>
      <c r="U208" s="12"/>
    </row>
    <row r="209" spans="1:21" x14ac:dyDescent="0.3">
      <c r="A209" s="5" t="s">
        <v>8</v>
      </c>
      <c r="B209" s="7">
        <v>2225.6999999999998</v>
      </c>
      <c r="C209" s="9">
        <v>39752</v>
      </c>
      <c r="D209" s="5">
        <v>11.15</v>
      </c>
      <c r="E209" s="6">
        <v>2.02</v>
      </c>
      <c r="F209" s="7">
        <v>2.08</v>
      </c>
      <c r="G209" s="6">
        <v>2937.1</v>
      </c>
      <c r="H209" s="6">
        <f t="shared" si="15"/>
        <v>199.61434977578472</v>
      </c>
      <c r="I209" s="27">
        <f t="shared" si="16"/>
        <v>263.41704035874437</v>
      </c>
      <c r="J209" s="12">
        <f t="shared" si="17"/>
        <v>-0.23156443831840112</v>
      </c>
      <c r="K209" s="12" t="e" cm="1">
        <f t="array" ref="K209">PRODUCT(J209:J268+1)^(1/5)-1</f>
        <v>#DIV/0!</v>
      </c>
      <c r="L209" s="13"/>
      <c r="M209" s="13"/>
      <c r="N209" s="13"/>
      <c r="O209" s="13"/>
      <c r="P209" s="13"/>
      <c r="Q209" s="13"/>
      <c r="R209" s="13"/>
      <c r="S209" s="14"/>
      <c r="T209" s="13"/>
      <c r="U209" s="13"/>
    </row>
    <row r="210" spans="1:21" x14ac:dyDescent="0.3">
      <c r="A210" s="2" t="s">
        <v>8</v>
      </c>
      <c r="B210" s="4">
        <v>3058.6</v>
      </c>
      <c r="C210" s="8">
        <v>39721</v>
      </c>
      <c r="D210" s="2">
        <v>14.51</v>
      </c>
      <c r="E210" s="3">
        <v>2.78</v>
      </c>
      <c r="F210" s="4">
        <v>1.52</v>
      </c>
      <c r="G210" s="3">
        <v>4033.31</v>
      </c>
      <c r="H210" s="3">
        <f t="shared" si="15"/>
        <v>210.79255685733978</v>
      </c>
      <c r="I210" s="27">
        <f t="shared" si="16"/>
        <v>277.96760854583044</v>
      </c>
      <c r="J210" s="12">
        <f t="shared" si="17"/>
        <v>-8.8567839195979881E-2</v>
      </c>
      <c r="K210" s="12" t="e" cm="1">
        <f t="array" ref="K210">PRODUCT(J210:J269+1)^(1/5)-1</f>
        <v>#DIV/0!</v>
      </c>
      <c r="L210" s="12"/>
      <c r="M210" s="12"/>
      <c r="N210" s="12"/>
      <c r="O210" s="12"/>
      <c r="P210" s="12"/>
      <c r="Q210" s="12"/>
      <c r="R210" s="12"/>
      <c r="S210" s="14"/>
      <c r="T210" s="12"/>
      <c r="U210" s="12"/>
    </row>
    <row r="211" spans="1:21" x14ac:dyDescent="0.3">
      <c r="A211" s="5" t="s">
        <v>8</v>
      </c>
      <c r="B211" s="7">
        <v>3489.05</v>
      </c>
      <c r="C211" s="9">
        <v>39689</v>
      </c>
      <c r="D211" s="5">
        <v>15.92</v>
      </c>
      <c r="E211" s="6">
        <v>3.27</v>
      </c>
      <c r="F211" s="7">
        <v>1.38</v>
      </c>
      <c r="G211" s="6">
        <v>4592.47</v>
      </c>
      <c r="H211" s="6">
        <f t="shared" si="15"/>
        <v>219.16143216080403</v>
      </c>
      <c r="I211" s="27">
        <f t="shared" si="16"/>
        <v>288.4717336683417</v>
      </c>
      <c r="J211" s="12">
        <f t="shared" si="17"/>
        <v>1.4659018483110353E-2</v>
      </c>
      <c r="K211" s="12" t="e" cm="1">
        <f t="array" ref="K211">PRODUCT(J211:J270+1)^(1/5)-1</f>
        <v>#DIV/0!</v>
      </c>
      <c r="L211" s="13"/>
      <c r="M211" s="13"/>
      <c r="N211" s="13"/>
      <c r="O211" s="13"/>
      <c r="P211" s="13"/>
      <c r="Q211" s="13"/>
      <c r="R211" s="13"/>
      <c r="S211" s="14"/>
      <c r="T211" s="13"/>
      <c r="U211" s="13"/>
    </row>
    <row r="212" spans="1:21" x14ac:dyDescent="0.3">
      <c r="A212" s="2" t="s">
        <v>8</v>
      </c>
      <c r="B212" s="4">
        <v>3456.7</v>
      </c>
      <c r="C212" s="8">
        <v>39660</v>
      </c>
      <c r="D212" s="2">
        <v>15.69</v>
      </c>
      <c r="E212" s="3">
        <v>3.4</v>
      </c>
      <c r="F212" s="4">
        <v>1.37</v>
      </c>
      <c r="G212" s="3">
        <v>4542.09</v>
      </c>
      <c r="H212" s="3">
        <f t="shared" si="15"/>
        <v>220.31230082855322</v>
      </c>
      <c r="I212" s="27">
        <f t="shared" si="16"/>
        <v>289.48948374760994</v>
      </c>
      <c r="J212" s="12">
        <f t="shared" si="17"/>
        <v>7.0989761092150161E-2</v>
      </c>
      <c r="K212" s="12" t="e" cm="1">
        <f t="array" ref="K212">PRODUCT(J212:J271+1)^(1/5)-1</f>
        <v>#DIV/0!</v>
      </c>
      <c r="L212" s="12"/>
      <c r="M212" s="12"/>
      <c r="N212" s="12"/>
      <c r="O212" s="12"/>
      <c r="P212" s="12"/>
      <c r="Q212" s="12"/>
      <c r="R212" s="12"/>
      <c r="S212" s="14"/>
      <c r="T212" s="12"/>
      <c r="U212" s="12"/>
    </row>
    <row r="213" spans="1:21" x14ac:dyDescent="0.3">
      <c r="A213" s="5" t="s">
        <v>8</v>
      </c>
      <c r="B213" s="7">
        <v>3203.35</v>
      </c>
      <c r="C213" s="9">
        <v>39629</v>
      </c>
      <c r="D213" s="5">
        <v>14.65</v>
      </c>
      <c r="E213" s="6">
        <v>3.4</v>
      </c>
      <c r="F213" s="7">
        <v>1.43</v>
      </c>
      <c r="G213" s="6">
        <v>4196.57</v>
      </c>
      <c r="H213" s="6">
        <f t="shared" si="15"/>
        <v>218.65870307167233</v>
      </c>
      <c r="I213" s="27">
        <f t="shared" si="16"/>
        <v>286.45529010238903</v>
      </c>
      <c r="J213" s="12">
        <f t="shared" si="17"/>
        <v>-0.19016030956329466</v>
      </c>
      <c r="K213" s="12" t="e" cm="1">
        <f t="array" ref="K213">PRODUCT(J213:J272+1)^(1/5)-1</f>
        <v>#DIV/0!</v>
      </c>
      <c r="L213" s="13"/>
      <c r="M213" s="13"/>
      <c r="N213" s="13"/>
      <c r="O213" s="13"/>
      <c r="P213" s="13"/>
      <c r="Q213" s="13"/>
      <c r="R213" s="13"/>
      <c r="S213" s="14"/>
      <c r="T213" s="13"/>
      <c r="U213" s="13"/>
    </row>
    <row r="214" spans="1:21" x14ac:dyDescent="0.3">
      <c r="A214" s="2" t="s">
        <v>8</v>
      </c>
      <c r="B214" s="4">
        <v>3959.65</v>
      </c>
      <c r="C214" s="8">
        <v>39598</v>
      </c>
      <c r="D214" s="2">
        <v>18.09</v>
      </c>
      <c r="E214" s="3">
        <v>4.32</v>
      </c>
      <c r="F214" s="4">
        <v>1.1299999999999999</v>
      </c>
      <c r="G214" s="3">
        <v>5180.88</v>
      </c>
      <c r="H214" s="3">
        <f t="shared" si="15"/>
        <v>218.88612493090105</v>
      </c>
      <c r="I214" s="27">
        <f t="shared" si="16"/>
        <v>286.39469320066337</v>
      </c>
      <c r="J214" s="12">
        <f t="shared" si="17"/>
        <v>-6.8006182380216385E-2</v>
      </c>
      <c r="K214" s="12" t="e" cm="1">
        <f t="array" ref="K214">PRODUCT(J214:J273+1)^(1/5)-1</f>
        <v>#DIV/0!</v>
      </c>
      <c r="L214" s="12"/>
      <c r="M214" s="12"/>
      <c r="N214" s="12"/>
      <c r="O214" s="12"/>
      <c r="P214" s="12"/>
      <c r="Q214" s="12"/>
      <c r="R214" s="12"/>
      <c r="S214" s="14"/>
      <c r="T214" s="12"/>
      <c r="U214" s="12"/>
    </row>
    <row r="215" spans="1:21" x14ac:dyDescent="0.3">
      <c r="A215" s="5" t="s">
        <v>8</v>
      </c>
      <c r="B215" s="7">
        <v>4222.1000000000004</v>
      </c>
      <c r="C215" s="9">
        <v>39568</v>
      </c>
      <c r="D215" s="5">
        <v>19.41</v>
      </c>
      <c r="E215" s="6">
        <v>4.8099999999999996</v>
      </c>
      <c r="F215" s="7">
        <v>1.02</v>
      </c>
      <c r="G215" s="6">
        <v>5515.51</v>
      </c>
      <c r="H215" s="6">
        <f t="shared" si="15"/>
        <v>217.52189592993304</v>
      </c>
      <c r="I215" s="27">
        <f t="shared" si="16"/>
        <v>284.15816589386912</v>
      </c>
      <c r="J215" s="12">
        <f t="shared" si="17"/>
        <v>8.6786114221724553E-2</v>
      </c>
      <c r="K215" s="12" t="e" cm="1">
        <f t="array" ref="K215">PRODUCT(J215:J274+1)^(1/5)-1</f>
        <v>#DIV/0!</v>
      </c>
      <c r="L215" s="13"/>
      <c r="M215" s="13"/>
      <c r="N215" s="13"/>
      <c r="O215" s="13"/>
      <c r="P215" s="13"/>
      <c r="Q215" s="13"/>
      <c r="R215" s="13"/>
      <c r="S215" s="14"/>
      <c r="T215" s="13"/>
      <c r="U215" s="13"/>
    </row>
    <row r="216" spans="1:21" x14ac:dyDescent="0.3">
      <c r="A216" s="2" t="s">
        <v>8</v>
      </c>
      <c r="B216" s="4">
        <v>3825.85</v>
      </c>
      <c r="C216" s="8">
        <v>39538</v>
      </c>
      <c r="D216" s="2">
        <v>17.86</v>
      </c>
      <c r="E216" s="3">
        <v>4.3099999999999996</v>
      </c>
      <c r="F216" s="4">
        <v>1.1399999999999999</v>
      </c>
      <c r="G216" s="3">
        <v>4996.1000000000004</v>
      </c>
      <c r="H216" s="3">
        <f t="shared" si="15"/>
        <v>214.21332586786113</v>
      </c>
      <c r="I216" s="27">
        <f t="shared" si="16"/>
        <v>279.73684210526318</v>
      </c>
      <c r="J216" s="12">
        <f t="shared" si="17"/>
        <v>-0.11976343026121239</v>
      </c>
      <c r="K216" s="12" t="e" cm="1">
        <f t="array" ref="K216">PRODUCT(J216:J275+1)^(1/5)-1</f>
        <v>#DIV/0!</v>
      </c>
      <c r="L216" s="12"/>
      <c r="M216" s="12"/>
      <c r="N216" s="12"/>
      <c r="O216" s="12"/>
      <c r="P216" s="12"/>
      <c r="Q216" s="12"/>
      <c r="R216" s="12"/>
      <c r="S216" s="14"/>
      <c r="T216" s="12"/>
      <c r="U216" s="12"/>
    </row>
    <row r="217" spans="1:21" x14ac:dyDescent="0.3">
      <c r="A217" s="5" t="s">
        <v>8</v>
      </c>
      <c r="B217" s="7">
        <v>4360.7</v>
      </c>
      <c r="C217" s="9">
        <v>39507</v>
      </c>
      <c r="D217" s="5">
        <v>20.29</v>
      </c>
      <c r="E217" s="6">
        <v>5.05</v>
      </c>
      <c r="F217" s="7">
        <v>0.99</v>
      </c>
      <c r="G217" s="6">
        <v>5692.94</v>
      </c>
      <c r="H217" s="6">
        <f t="shared" si="15"/>
        <v>214.91867915229176</v>
      </c>
      <c r="I217" s="27">
        <f t="shared" si="16"/>
        <v>280.57861015278462</v>
      </c>
      <c r="J217" s="12">
        <f t="shared" si="17"/>
        <v>4.9529470034670453E-3</v>
      </c>
      <c r="K217" s="12" t="e" cm="1">
        <f t="array" ref="K217">PRODUCT(J217:J276+1)^(1/5)-1</f>
        <v>#DIV/0!</v>
      </c>
      <c r="L217" s="13"/>
      <c r="M217" s="13"/>
      <c r="N217" s="13"/>
      <c r="O217" s="13"/>
      <c r="P217" s="13"/>
      <c r="Q217" s="13"/>
      <c r="R217" s="13"/>
      <c r="S217" s="14"/>
      <c r="T217" s="13"/>
      <c r="U217" s="13"/>
    </row>
    <row r="218" spans="1:21" x14ac:dyDescent="0.3">
      <c r="A218" s="2" t="s">
        <v>8</v>
      </c>
      <c r="B218" s="4">
        <v>4349</v>
      </c>
      <c r="C218" s="8">
        <v>39478</v>
      </c>
      <c r="D218" s="2">
        <v>20.190000000000001</v>
      </c>
      <c r="E218" s="3">
        <v>5.01</v>
      </c>
      <c r="F218" s="4">
        <v>1</v>
      </c>
      <c r="G218" s="3">
        <v>5671.45</v>
      </c>
      <c r="H218" s="3">
        <f t="shared" si="15"/>
        <v>215.40366518078255</v>
      </c>
      <c r="I218" s="27">
        <f t="shared" si="16"/>
        <v>280.90391282813272</v>
      </c>
      <c r="J218" s="12">
        <f t="shared" si="17"/>
        <v>-0.23522727272727262</v>
      </c>
      <c r="K218" s="12" t="e" cm="1">
        <f t="array" ref="K218">PRODUCT(J218:J277+1)^(1/5)-1</f>
        <v>#DIV/0!</v>
      </c>
      <c r="L218" s="12"/>
      <c r="M218" s="12"/>
      <c r="N218" s="12"/>
      <c r="O218" s="12"/>
      <c r="P218" s="12"/>
      <c r="Q218" s="12"/>
      <c r="R218" s="12"/>
      <c r="S218" s="14"/>
      <c r="T218" s="12"/>
      <c r="U218" s="12"/>
    </row>
    <row r="219" spans="1:21" x14ac:dyDescent="0.3">
      <c r="A219" s="5" t="s">
        <v>8</v>
      </c>
      <c r="B219" s="7">
        <v>5354.7</v>
      </c>
      <c r="C219" s="9">
        <v>39447</v>
      </c>
      <c r="D219" s="5">
        <v>26.4</v>
      </c>
      <c r="E219" s="6">
        <v>6.16</v>
      </c>
      <c r="F219" s="7">
        <v>0.81</v>
      </c>
      <c r="G219" s="6">
        <v>6981.86</v>
      </c>
      <c r="H219" s="6">
        <f t="shared" si="15"/>
        <v>202.82954545454547</v>
      </c>
      <c r="I219" s="27">
        <f t="shared" si="16"/>
        <v>264.46439393939391</v>
      </c>
      <c r="J219" s="12">
        <f t="shared" si="17"/>
        <v>0.12724167378309126</v>
      </c>
      <c r="K219" s="12" t="e" cm="1">
        <f t="array" ref="K219">PRODUCT(J219:J278+1)^(1/5)-1</f>
        <v>#DIV/0!</v>
      </c>
      <c r="L219" s="13"/>
      <c r="M219" s="13"/>
      <c r="N219" s="13"/>
      <c r="O219" s="13"/>
      <c r="P219" s="13"/>
      <c r="Q219" s="13"/>
      <c r="R219" s="13"/>
      <c r="S219" s="14"/>
      <c r="T219" s="13"/>
      <c r="U219" s="13"/>
    </row>
    <row r="220" spans="1:21" x14ac:dyDescent="0.3">
      <c r="A220" s="2" t="s">
        <v>8</v>
      </c>
      <c r="B220" s="4">
        <v>4869.55</v>
      </c>
      <c r="C220" s="8">
        <v>39416</v>
      </c>
      <c r="D220" s="2">
        <v>23.42</v>
      </c>
      <c r="E220" s="3">
        <v>5.44</v>
      </c>
      <c r="F220" s="4">
        <v>0.91</v>
      </c>
      <c r="G220" s="3">
        <v>6344.24</v>
      </c>
      <c r="H220" s="3">
        <f t="shared" si="15"/>
        <v>207.92271562766865</v>
      </c>
      <c r="I220" s="27">
        <f t="shared" si="16"/>
        <v>270.88983774551662</v>
      </c>
      <c r="J220" s="12">
        <f t="shared" si="17"/>
        <v>1.649305555555558E-2</v>
      </c>
      <c r="K220" s="12" t="e" cm="1">
        <f t="array" ref="K220">PRODUCT(J220:J279+1)^(1/5)-1</f>
        <v>#DIV/0!</v>
      </c>
      <c r="L220" s="12"/>
      <c r="M220" s="12"/>
      <c r="N220" s="12"/>
      <c r="O220" s="12"/>
      <c r="P220" s="12"/>
      <c r="Q220" s="12"/>
      <c r="R220" s="12"/>
      <c r="S220" s="14"/>
      <c r="T220" s="12"/>
      <c r="U220" s="12"/>
    </row>
    <row r="221" spans="1:21" x14ac:dyDescent="0.3">
      <c r="A221" s="5" t="s">
        <v>8</v>
      </c>
      <c r="B221" s="7">
        <v>4806.8500000000004</v>
      </c>
      <c r="C221" s="9">
        <v>39386</v>
      </c>
      <c r="D221" s="5">
        <v>23.04</v>
      </c>
      <c r="E221" s="6">
        <v>5.35</v>
      </c>
      <c r="F221" s="7">
        <v>0.93</v>
      </c>
      <c r="G221" s="6">
        <v>6260.72</v>
      </c>
      <c r="H221" s="6">
        <f t="shared" si="15"/>
        <v>208.63064236111114</v>
      </c>
      <c r="I221" s="27">
        <f t="shared" si="16"/>
        <v>271.73263888888891</v>
      </c>
      <c r="J221" s="12">
        <f t="shared" si="17"/>
        <v>9.7665555026202888E-2</v>
      </c>
      <c r="K221" s="12" t="e" cm="1">
        <f t="array" ref="K221">PRODUCT(J221:J280+1)^(1/5)-1</f>
        <v>#DIV/0!</v>
      </c>
      <c r="L221" s="13"/>
      <c r="M221" s="13"/>
      <c r="N221" s="13"/>
      <c r="O221" s="13"/>
      <c r="P221" s="13"/>
      <c r="Q221" s="13"/>
      <c r="R221" s="13"/>
      <c r="S221" s="14"/>
      <c r="T221" s="13"/>
      <c r="U221" s="13"/>
    </row>
    <row r="222" spans="1:21" x14ac:dyDescent="0.3">
      <c r="A222" s="2" t="s">
        <v>8</v>
      </c>
      <c r="B222" s="4">
        <v>4188.55</v>
      </c>
      <c r="C222" s="8">
        <v>39353</v>
      </c>
      <c r="D222" s="2">
        <v>20.99</v>
      </c>
      <c r="E222" s="3">
        <v>4.8</v>
      </c>
      <c r="F222" s="4">
        <v>1.06</v>
      </c>
      <c r="G222" s="3">
        <v>5453.48</v>
      </c>
      <c r="H222" s="3">
        <f t="shared" si="15"/>
        <v>199.5497856121963</v>
      </c>
      <c r="I222" s="27">
        <f t="shared" si="16"/>
        <v>259.81324440209625</v>
      </c>
      <c r="J222" s="12">
        <f t="shared" si="17"/>
        <v>0.14076086956521738</v>
      </c>
      <c r="K222" s="12" t="e" cm="1">
        <f t="array" ref="K222">PRODUCT(J222:J281+1)^(1/5)-1</f>
        <v>#DIV/0!</v>
      </c>
      <c r="L222" s="12"/>
      <c r="M222" s="12"/>
      <c r="N222" s="12"/>
      <c r="O222" s="12"/>
      <c r="P222" s="12"/>
      <c r="Q222" s="12"/>
      <c r="R222" s="12"/>
      <c r="S222" s="14"/>
      <c r="T222" s="12"/>
      <c r="U222" s="12"/>
    </row>
    <row r="223" spans="1:21" x14ac:dyDescent="0.3">
      <c r="A223" s="5" t="s">
        <v>8</v>
      </c>
      <c r="B223" s="7">
        <v>3711.55</v>
      </c>
      <c r="C223" s="9">
        <v>39325</v>
      </c>
      <c r="D223" s="5">
        <v>18.399999999999999</v>
      </c>
      <c r="E223" s="6">
        <v>4.3600000000000003</v>
      </c>
      <c r="F223" s="7">
        <v>1.1399999999999999</v>
      </c>
      <c r="G223" s="6">
        <v>4824.49</v>
      </c>
      <c r="H223" s="6">
        <f t="shared" si="15"/>
        <v>201.7146739130435</v>
      </c>
      <c r="I223" s="27">
        <f t="shared" si="16"/>
        <v>262.2005434782609</v>
      </c>
      <c r="J223" s="12">
        <f t="shared" si="17"/>
        <v>-1.7094017094017144E-2</v>
      </c>
      <c r="K223" s="12" t="e" cm="1">
        <f t="array" ref="K223">PRODUCT(J223:J282+1)^(1/5)-1</f>
        <v>#DIV/0!</v>
      </c>
      <c r="L223" s="13"/>
      <c r="M223" s="13"/>
      <c r="N223" s="13"/>
      <c r="O223" s="13"/>
      <c r="P223" s="13"/>
      <c r="Q223" s="13"/>
      <c r="R223" s="13"/>
      <c r="S223" s="14"/>
      <c r="T223" s="13"/>
      <c r="U223" s="13"/>
    </row>
    <row r="224" spans="1:21" x14ac:dyDescent="0.3">
      <c r="A224" s="2" t="s">
        <v>8</v>
      </c>
      <c r="B224" s="4">
        <v>3783.85</v>
      </c>
      <c r="C224" s="8">
        <v>39294</v>
      </c>
      <c r="D224" s="2">
        <v>18.72</v>
      </c>
      <c r="E224" s="3">
        <v>4.58</v>
      </c>
      <c r="F224" s="4">
        <v>1.1100000000000001</v>
      </c>
      <c r="G224" s="3">
        <v>4911.2</v>
      </c>
      <c r="H224" s="3">
        <f t="shared" si="15"/>
        <v>202.12873931623932</v>
      </c>
      <c r="I224" s="27">
        <f t="shared" si="16"/>
        <v>262.35042735042737</v>
      </c>
      <c r="J224" s="12">
        <f t="shared" si="17"/>
        <v>-1.1093502377179099E-2</v>
      </c>
      <c r="K224" s="12" t="e" cm="1">
        <f t="array" ref="K224">PRODUCT(J224:J283+1)^(1/5)-1</f>
        <v>#DIV/0!</v>
      </c>
      <c r="L224" s="12"/>
      <c r="M224" s="12"/>
      <c r="N224" s="12"/>
      <c r="O224" s="12"/>
      <c r="P224" s="12"/>
      <c r="Q224" s="12"/>
      <c r="R224" s="12"/>
      <c r="S224" s="14"/>
      <c r="T224" s="12"/>
      <c r="U224" s="12"/>
    </row>
    <row r="225" spans="1:21" x14ac:dyDescent="0.3">
      <c r="A225" s="5" t="s">
        <v>8</v>
      </c>
      <c r="B225" s="7">
        <v>3625.75</v>
      </c>
      <c r="C225" s="9">
        <v>39262</v>
      </c>
      <c r="D225" s="5">
        <v>18.93</v>
      </c>
      <c r="E225" s="6">
        <v>4.5199999999999996</v>
      </c>
      <c r="F225" s="7">
        <v>1.1499999999999999</v>
      </c>
      <c r="G225" s="6">
        <v>4700.21</v>
      </c>
      <c r="H225" s="6">
        <f t="shared" si="15"/>
        <v>191.53460116217644</v>
      </c>
      <c r="I225" s="27">
        <f t="shared" si="16"/>
        <v>248.29424194400423</v>
      </c>
      <c r="J225" s="12">
        <f t="shared" si="17"/>
        <v>2.4905251759610225E-2</v>
      </c>
      <c r="K225" s="12" t="e" cm="1">
        <f t="array" ref="K225">PRODUCT(J225:J284+1)^(1/5)-1</f>
        <v>#DIV/0!</v>
      </c>
      <c r="L225" s="13"/>
      <c r="M225" s="13"/>
      <c r="N225" s="13"/>
      <c r="O225" s="13"/>
      <c r="P225" s="13"/>
      <c r="Q225" s="13"/>
      <c r="R225" s="13"/>
      <c r="S225" s="14"/>
      <c r="T225" s="13"/>
      <c r="U225" s="13"/>
    </row>
    <row r="226" spans="1:21" x14ac:dyDescent="0.3">
      <c r="A226" s="2" t="s">
        <v>8</v>
      </c>
      <c r="B226" s="4">
        <v>3563.65</v>
      </c>
      <c r="C226" s="8">
        <v>39233</v>
      </c>
      <c r="D226" s="2">
        <v>18.47</v>
      </c>
      <c r="E226" s="3">
        <v>4.62</v>
      </c>
      <c r="F226" s="4">
        <v>1.1399999999999999</v>
      </c>
      <c r="G226" s="3">
        <v>4609.83</v>
      </c>
      <c r="H226" s="3">
        <f t="shared" si="15"/>
        <v>192.9426096372496</v>
      </c>
      <c r="I226" s="27">
        <f t="shared" si="16"/>
        <v>249.58473199783433</v>
      </c>
      <c r="J226" s="12">
        <f t="shared" si="17"/>
        <v>4.9431818181818077E-2</v>
      </c>
      <c r="K226" s="12" t="e" cm="1">
        <f t="array" ref="K226">PRODUCT(J226:J285+1)^(1/5)-1</f>
        <v>#DIV/0!</v>
      </c>
      <c r="L226" s="12"/>
      <c r="M226" s="12"/>
      <c r="N226" s="12"/>
      <c r="O226" s="12"/>
      <c r="P226" s="12"/>
      <c r="Q226" s="12"/>
      <c r="R226" s="12"/>
      <c r="S226" s="14"/>
      <c r="T226" s="12"/>
      <c r="U226" s="12"/>
    </row>
    <row r="227" spans="1:21" x14ac:dyDescent="0.3">
      <c r="A227" s="5" t="s">
        <v>8</v>
      </c>
      <c r="B227" s="7">
        <v>3379.1</v>
      </c>
      <c r="C227" s="9">
        <v>39202</v>
      </c>
      <c r="D227" s="5">
        <v>17.600000000000001</v>
      </c>
      <c r="E227" s="6">
        <v>4.38</v>
      </c>
      <c r="F227" s="7">
        <v>1.2</v>
      </c>
      <c r="G227" s="6">
        <v>4369.88</v>
      </c>
      <c r="H227" s="6">
        <f t="shared" si="15"/>
        <v>191.99431818181816</v>
      </c>
      <c r="I227" s="27">
        <f t="shared" si="16"/>
        <v>248.28863636363636</v>
      </c>
      <c r="J227" s="12">
        <f t="shared" si="17"/>
        <v>2.8638223261250761E-2</v>
      </c>
      <c r="K227" s="12" t="e" cm="1">
        <f t="array" ref="K227">PRODUCT(J227:J286+1)^(1/5)-1</f>
        <v>#DIV/0!</v>
      </c>
      <c r="L227" s="13"/>
      <c r="M227" s="13"/>
      <c r="N227" s="13"/>
      <c r="O227" s="13"/>
      <c r="P227" s="13"/>
      <c r="Q227" s="13"/>
      <c r="R227" s="13"/>
      <c r="S227" s="14"/>
      <c r="T227" s="13"/>
      <c r="U227" s="13"/>
    </row>
    <row r="228" spans="1:21" x14ac:dyDescent="0.3">
      <c r="A228" s="2" t="s">
        <v>8</v>
      </c>
      <c r="B228" s="4">
        <v>3145.35</v>
      </c>
      <c r="C228" s="8">
        <v>39171</v>
      </c>
      <c r="D228" s="2">
        <v>17.11</v>
      </c>
      <c r="E228" s="3">
        <v>4.08</v>
      </c>
      <c r="F228" s="4">
        <v>1.28</v>
      </c>
      <c r="G228" s="3">
        <v>4065.63</v>
      </c>
      <c r="H228" s="3">
        <f t="shared" si="15"/>
        <v>183.83109292811221</v>
      </c>
      <c r="I228" s="27">
        <f t="shared" si="16"/>
        <v>237.61718293395677</v>
      </c>
      <c r="J228" s="12">
        <f t="shared" si="17"/>
        <v>1.2426035502958621E-2</v>
      </c>
      <c r="K228" s="12" t="e" cm="1">
        <f t="array" ref="K228">PRODUCT(J228:J287+1)^(1/5)-1</f>
        <v>#DIV/0!</v>
      </c>
      <c r="L228" s="12"/>
      <c r="M228" s="12"/>
      <c r="N228" s="12"/>
      <c r="O228" s="12"/>
      <c r="P228" s="12"/>
      <c r="Q228" s="12"/>
      <c r="R228" s="12"/>
      <c r="S228" s="14"/>
      <c r="T228" s="12"/>
      <c r="U228" s="12"/>
    </row>
    <row r="229" spans="1:21" x14ac:dyDescent="0.3">
      <c r="A229" s="5" t="s">
        <v>8</v>
      </c>
      <c r="B229" s="7">
        <v>3107.75</v>
      </c>
      <c r="C229" s="9">
        <v>39141</v>
      </c>
      <c r="D229" s="5">
        <v>16.899999999999999</v>
      </c>
      <c r="E229" s="6">
        <v>4.03</v>
      </c>
      <c r="F229" s="7">
        <v>1.3</v>
      </c>
      <c r="G229" s="6">
        <v>4007.34</v>
      </c>
      <c r="H229" s="6">
        <f t="shared" si="15"/>
        <v>183.89053254437871</v>
      </c>
      <c r="I229" s="27">
        <f t="shared" si="16"/>
        <v>237.12071005917161</v>
      </c>
      <c r="J229" s="12">
        <f t="shared" si="17"/>
        <v>-9.2860976918948013E-2</v>
      </c>
      <c r="K229" s="12" t="e" cm="1">
        <f t="array" ref="K229">PRODUCT(J229:J288+1)^(1/5)-1</f>
        <v>#DIV/0!</v>
      </c>
      <c r="L229" s="13"/>
      <c r="M229" s="13"/>
      <c r="N229" s="13"/>
      <c r="O229" s="13"/>
      <c r="P229" s="13"/>
      <c r="Q229" s="13"/>
      <c r="R229" s="13"/>
      <c r="S229" s="14"/>
      <c r="T229" s="13"/>
      <c r="U229" s="13"/>
    </row>
    <row r="230" spans="1:21" x14ac:dyDescent="0.3">
      <c r="A230" s="2" t="s">
        <v>8</v>
      </c>
      <c r="B230" s="4">
        <v>3393.1</v>
      </c>
      <c r="C230" s="8">
        <v>39113</v>
      </c>
      <c r="D230" s="2">
        <v>18.63</v>
      </c>
      <c r="E230" s="3">
        <v>4.41</v>
      </c>
      <c r="F230" s="4">
        <v>1.19</v>
      </c>
      <c r="G230" s="3">
        <v>4369.84</v>
      </c>
      <c r="H230" s="3">
        <f t="shared" si="15"/>
        <v>182.13097155126141</v>
      </c>
      <c r="I230" s="27">
        <f t="shared" si="16"/>
        <v>234.55931293612454</v>
      </c>
      <c r="J230" s="12">
        <f t="shared" si="17"/>
        <v>-6.0987903225806495E-2</v>
      </c>
      <c r="K230" s="12" t="e" cm="1">
        <f t="array" ref="K230">PRODUCT(J230:J289+1)^(1/5)-1</f>
        <v>#DIV/0!</v>
      </c>
      <c r="L230" s="12"/>
      <c r="M230" s="12"/>
      <c r="N230" s="12"/>
      <c r="O230" s="12"/>
      <c r="P230" s="12"/>
      <c r="Q230" s="12"/>
      <c r="R230" s="12"/>
      <c r="S230" s="14"/>
      <c r="T230" s="12"/>
      <c r="U230" s="12"/>
    </row>
    <row r="231" spans="1:21" x14ac:dyDescent="0.3">
      <c r="A231" s="5" t="s">
        <v>8</v>
      </c>
      <c r="B231" s="7">
        <v>3295.05</v>
      </c>
      <c r="C231" s="9">
        <v>39080</v>
      </c>
      <c r="D231" s="5">
        <v>19.84</v>
      </c>
      <c r="E231" s="6">
        <v>4.2699999999999996</v>
      </c>
      <c r="F231" s="7">
        <v>1.23</v>
      </c>
      <c r="G231" s="6">
        <v>4242.18</v>
      </c>
      <c r="H231" s="6">
        <f t="shared" si="15"/>
        <v>166.08114919354838</v>
      </c>
      <c r="I231" s="27">
        <f t="shared" si="16"/>
        <v>213.81955645161293</v>
      </c>
      <c r="J231" s="12">
        <f t="shared" si="17"/>
        <v>1.2244897959183598E-2</v>
      </c>
      <c r="K231" s="12" t="e" cm="1">
        <f t="array" ref="K231">PRODUCT(J231:J290+1)^(1/5)-1</f>
        <v>#DIV/0!</v>
      </c>
      <c r="L231" s="13"/>
      <c r="M231" s="13"/>
      <c r="N231" s="13"/>
      <c r="O231" s="13"/>
      <c r="P231" s="13"/>
      <c r="Q231" s="13"/>
      <c r="R231" s="13"/>
      <c r="S231" s="14"/>
      <c r="T231" s="13"/>
      <c r="U231" s="13"/>
    </row>
    <row r="232" spans="1:21" x14ac:dyDescent="0.3">
      <c r="A232" s="2" t="s">
        <v>8</v>
      </c>
      <c r="B232" s="4">
        <v>3280.45</v>
      </c>
      <c r="C232" s="8">
        <v>39051</v>
      </c>
      <c r="D232" s="2">
        <v>19.600000000000001</v>
      </c>
      <c r="E232" s="3">
        <v>4.24</v>
      </c>
      <c r="F232" s="4">
        <v>1.25</v>
      </c>
      <c r="G232" s="3">
        <v>4215.13</v>
      </c>
      <c r="H232" s="3">
        <f t="shared" si="15"/>
        <v>167.36989795918365</v>
      </c>
      <c r="I232" s="27">
        <f t="shared" si="16"/>
        <v>215.05765306122447</v>
      </c>
      <c r="J232" s="12">
        <f t="shared" si="17"/>
        <v>4.0339702760084917E-2</v>
      </c>
      <c r="K232" s="12" t="e" cm="1">
        <f t="array" ref="K232">PRODUCT(J232:J291+1)^(1/5)-1</f>
        <v>#DIV/0!</v>
      </c>
      <c r="L232" s="12"/>
      <c r="M232" s="12"/>
      <c r="N232" s="12"/>
      <c r="O232" s="12"/>
      <c r="P232" s="12"/>
      <c r="Q232" s="12"/>
      <c r="R232" s="12"/>
      <c r="S232" s="14"/>
      <c r="T232" s="12"/>
      <c r="U232" s="12"/>
    </row>
    <row r="233" spans="1:21" x14ac:dyDescent="0.3">
      <c r="A233" s="5" t="s">
        <v>8</v>
      </c>
      <c r="B233" s="7">
        <v>3114.55</v>
      </c>
      <c r="C233" s="9">
        <v>39021</v>
      </c>
      <c r="D233" s="5">
        <v>18.84</v>
      </c>
      <c r="E233" s="6">
        <v>4.05</v>
      </c>
      <c r="F233" s="7">
        <v>1.33</v>
      </c>
      <c r="G233" s="6">
        <v>4000.73</v>
      </c>
      <c r="H233" s="6">
        <f t="shared" si="15"/>
        <v>165.31581740976645</v>
      </c>
      <c r="I233" s="27">
        <f t="shared" si="16"/>
        <v>212.35297239915076</v>
      </c>
      <c r="J233" s="12">
        <f t="shared" si="17"/>
        <v>-3.8284839203675314E-2</v>
      </c>
      <c r="K233" s="12" t="e" cm="1">
        <f t="array" ref="K233">PRODUCT(J233:J292+1)^(1/5)-1</f>
        <v>#DIV/0!</v>
      </c>
      <c r="L233" s="13"/>
      <c r="M233" s="13"/>
      <c r="N233" s="13"/>
      <c r="O233" s="13"/>
      <c r="P233" s="13"/>
      <c r="Q233" s="13"/>
      <c r="R233" s="13"/>
      <c r="S233" s="14"/>
      <c r="T233" s="13"/>
      <c r="U233" s="13"/>
    </row>
    <row r="234" spans="1:21" x14ac:dyDescent="0.3">
      <c r="A234" s="2" t="s">
        <v>8</v>
      </c>
      <c r="B234" s="4">
        <v>2988.25</v>
      </c>
      <c r="C234" s="8">
        <v>38989</v>
      </c>
      <c r="D234" s="2">
        <v>19.59</v>
      </c>
      <c r="E234" s="3">
        <v>4</v>
      </c>
      <c r="F234" s="4">
        <v>1.35</v>
      </c>
      <c r="G234" s="3">
        <v>3837.28</v>
      </c>
      <c r="H234" s="3">
        <f t="shared" si="15"/>
        <v>152.53956100051047</v>
      </c>
      <c r="I234" s="27">
        <f t="shared" si="16"/>
        <v>195.87953037263912</v>
      </c>
      <c r="J234" s="12">
        <f t="shared" si="17"/>
        <v>8.1722805080066241E-2</v>
      </c>
      <c r="K234" s="12" t="e" cm="1">
        <f t="array" ref="K234">PRODUCT(J234:J293+1)^(1/5)-1</f>
        <v>#DIV/0!</v>
      </c>
      <c r="L234" s="12"/>
      <c r="M234" s="12"/>
      <c r="N234" s="12"/>
      <c r="O234" s="12"/>
      <c r="P234" s="12"/>
      <c r="Q234" s="12"/>
      <c r="R234" s="12"/>
      <c r="S234" s="14"/>
      <c r="T234" s="12"/>
      <c r="U234" s="12"/>
    </row>
    <row r="235" spans="1:21" x14ac:dyDescent="0.3">
      <c r="A235" s="5" t="s">
        <v>8</v>
      </c>
      <c r="B235" s="7">
        <v>2807.95</v>
      </c>
      <c r="C235" s="9">
        <v>38960</v>
      </c>
      <c r="D235" s="5">
        <v>18.11</v>
      </c>
      <c r="E235" s="6">
        <v>3.74</v>
      </c>
      <c r="F235" s="7">
        <v>1.46</v>
      </c>
      <c r="G235" s="6">
        <v>3597.38</v>
      </c>
      <c r="H235" s="6">
        <f t="shared" si="15"/>
        <v>155.04969630038653</v>
      </c>
      <c r="I235" s="27">
        <f t="shared" si="16"/>
        <v>198.64053009387081</v>
      </c>
      <c r="J235" s="12">
        <f t="shared" si="17"/>
        <v>9.4921402660217646E-2</v>
      </c>
      <c r="K235" s="12" t="e" cm="1">
        <f t="array" ref="K235">PRODUCT(J235:J294+1)^(1/5)-1</f>
        <v>#DIV/0!</v>
      </c>
      <c r="L235" s="13"/>
      <c r="M235" s="13"/>
      <c r="N235" s="13"/>
      <c r="O235" s="13"/>
      <c r="P235" s="13"/>
      <c r="Q235" s="13"/>
      <c r="R235" s="13"/>
      <c r="S235" s="14"/>
      <c r="T235" s="13"/>
      <c r="U235" s="13"/>
    </row>
    <row r="236" spans="1:21" x14ac:dyDescent="0.3">
      <c r="A236" s="2" t="s">
        <v>8</v>
      </c>
      <c r="B236" s="4">
        <v>2562.5500000000002</v>
      </c>
      <c r="C236" s="8">
        <v>38929</v>
      </c>
      <c r="D236" s="2">
        <v>16.54</v>
      </c>
      <c r="E236" s="3">
        <v>3.47</v>
      </c>
      <c r="F236" s="4">
        <v>1.59</v>
      </c>
      <c r="G236" s="3">
        <v>3277.37</v>
      </c>
      <c r="H236" s="3">
        <f t="shared" si="15"/>
        <v>154.93047158403871</v>
      </c>
      <c r="I236" s="27">
        <f t="shared" si="16"/>
        <v>198.14812575574365</v>
      </c>
      <c r="J236" s="12">
        <f t="shared" si="17"/>
        <v>-4.1159420289855086E-2</v>
      </c>
      <c r="K236" s="12" t="e" cm="1">
        <f t="array" ref="K236">PRODUCT(J236:J295+1)^(1/5)-1</f>
        <v>#DIV/0!</v>
      </c>
      <c r="L236" s="12"/>
      <c r="M236" s="12"/>
      <c r="N236" s="12"/>
      <c r="O236" s="12"/>
      <c r="P236" s="12"/>
      <c r="Q236" s="12"/>
      <c r="R236" s="12"/>
      <c r="S236" s="14"/>
      <c r="T236" s="12"/>
      <c r="U236" s="12"/>
    </row>
    <row r="237" spans="1:21" x14ac:dyDescent="0.3">
      <c r="A237" s="5" t="s">
        <v>8</v>
      </c>
      <c r="B237" s="7">
        <v>2562.5</v>
      </c>
      <c r="C237" s="9">
        <v>38898</v>
      </c>
      <c r="D237" s="5">
        <v>17.25</v>
      </c>
      <c r="E237" s="6">
        <v>3.75</v>
      </c>
      <c r="F237" s="7">
        <v>1.53</v>
      </c>
      <c r="G237" s="6">
        <v>3270.48</v>
      </c>
      <c r="H237" s="6">
        <f t="shared" si="15"/>
        <v>148.55072463768116</v>
      </c>
      <c r="I237" s="27">
        <f t="shared" si="16"/>
        <v>189.59304347826088</v>
      </c>
      <c r="J237" s="12">
        <f t="shared" si="17"/>
        <v>-1.0894495412844152E-2</v>
      </c>
      <c r="K237" s="12" t="e" cm="1">
        <f t="array" ref="K237">PRODUCT(J237:J296+1)^(1/5)-1</f>
        <v>#DIV/0!</v>
      </c>
      <c r="L237" s="13"/>
      <c r="M237" s="13"/>
      <c r="N237" s="13"/>
      <c r="O237" s="13"/>
      <c r="P237" s="13"/>
      <c r="Q237" s="13"/>
      <c r="R237" s="13"/>
      <c r="S237" s="14"/>
      <c r="T237" s="13"/>
      <c r="U237" s="13"/>
    </row>
    <row r="238" spans="1:21" x14ac:dyDescent="0.3">
      <c r="A238" s="2" t="s">
        <v>8</v>
      </c>
      <c r="B238" s="4">
        <v>2635.25</v>
      </c>
      <c r="C238" s="8">
        <v>38868</v>
      </c>
      <c r="D238" s="2">
        <v>17.440000000000001</v>
      </c>
      <c r="E238" s="3">
        <v>4.03</v>
      </c>
      <c r="F238" s="4">
        <v>1.42</v>
      </c>
      <c r="G238" s="3">
        <v>3352.19</v>
      </c>
      <c r="H238" s="3">
        <f t="shared" si="15"/>
        <v>151.10378440366972</v>
      </c>
      <c r="I238" s="27">
        <f t="shared" si="16"/>
        <v>192.21272935779817</v>
      </c>
      <c r="J238" s="12">
        <f t="shared" si="17"/>
        <v>-0.1627460393662985</v>
      </c>
      <c r="K238" s="12" t="e" cm="1">
        <f t="array" ref="K238">PRODUCT(J238:J297+1)^(1/5)-1</f>
        <v>#DIV/0!</v>
      </c>
      <c r="L238" s="12"/>
      <c r="M238" s="12"/>
      <c r="N238" s="12"/>
      <c r="O238" s="12"/>
      <c r="P238" s="12"/>
      <c r="Q238" s="12"/>
      <c r="R238" s="12"/>
      <c r="S238" s="14"/>
      <c r="T238" s="12"/>
      <c r="U238" s="12"/>
    </row>
    <row r="239" spans="1:21" x14ac:dyDescent="0.3">
      <c r="A239" s="5" t="s">
        <v>8</v>
      </c>
      <c r="B239" s="7">
        <v>3064.7</v>
      </c>
      <c r="C239" s="9">
        <v>38836</v>
      </c>
      <c r="D239" s="5">
        <v>20.83</v>
      </c>
      <c r="E239" s="6">
        <v>4.7</v>
      </c>
      <c r="F239" s="7">
        <v>1.22</v>
      </c>
      <c r="G239" s="6">
        <v>3893.58</v>
      </c>
      <c r="H239" s="6">
        <f t="shared" si="15"/>
        <v>147.12914066250602</v>
      </c>
      <c r="I239" s="27">
        <f t="shared" si="16"/>
        <v>186.92174747959675</v>
      </c>
      <c r="J239" s="12">
        <f t="shared" si="17"/>
        <v>-4.4933516735442436E-2</v>
      </c>
      <c r="K239" s="12" t="e" cm="1">
        <f t="array" ref="K239">PRODUCT(J239:J298+1)^(1/5)-1</f>
        <v>#DIV/0!</v>
      </c>
      <c r="L239" s="13"/>
      <c r="M239" s="13"/>
      <c r="N239" s="13"/>
      <c r="O239" s="13"/>
      <c r="P239" s="13"/>
      <c r="Q239" s="13"/>
      <c r="R239" s="13"/>
      <c r="S239" s="14"/>
      <c r="T239" s="13"/>
      <c r="U239" s="13"/>
    </row>
    <row r="240" spans="1:21" x14ac:dyDescent="0.3">
      <c r="A240" s="2" t="s">
        <v>8</v>
      </c>
      <c r="B240" s="4">
        <v>2910.35</v>
      </c>
      <c r="C240" s="8">
        <v>38807</v>
      </c>
      <c r="D240" s="2">
        <v>21.81</v>
      </c>
      <c r="E240" s="3">
        <v>4.4400000000000004</v>
      </c>
      <c r="F240" s="4">
        <v>1.29</v>
      </c>
      <c r="G240" s="3">
        <v>3696.06</v>
      </c>
      <c r="H240" s="3">
        <f t="shared" si="15"/>
        <v>133.44108207244383</v>
      </c>
      <c r="I240" s="27">
        <f t="shared" si="16"/>
        <v>169.46629986244844</v>
      </c>
      <c r="J240" s="12">
        <f t="shared" si="17"/>
        <v>9.929435483870952E-2</v>
      </c>
      <c r="K240" s="12" t="e" cm="1">
        <f t="array" ref="K240">PRODUCT(J240:J299+1)^(1/5)-1</f>
        <v>#DIV/0!</v>
      </c>
      <c r="L240" s="12"/>
      <c r="M240" s="12"/>
      <c r="N240" s="12"/>
      <c r="O240" s="12"/>
      <c r="P240" s="12"/>
      <c r="Q240" s="12"/>
      <c r="R240" s="12"/>
      <c r="S240" s="14"/>
      <c r="T240" s="12"/>
      <c r="U240" s="12"/>
    </row>
    <row r="241" spans="1:21" x14ac:dyDescent="0.3">
      <c r="A241" s="5" t="s">
        <v>8</v>
      </c>
      <c r="B241" s="7">
        <v>2658.95</v>
      </c>
      <c r="C241" s="9">
        <v>38776</v>
      </c>
      <c r="D241" s="5">
        <v>19.84</v>
      </c>
      <c r="E241" s="6">
        <v>4</v>
      </c>
      <c r="F241" s="7">
        <v>1.43</v>
      </c>
      <c r="G241" s="6">
        <v>3375.15</v>
      </c>
      <c r="H241" s="6">
        <f t="shared" si="15"/>
        <v>134.01965725806451</v>
      </c>
      <c r="I241" s="27">
        <f t="shared" si="16"/>
        <v>170.11844758064515</v>
      </c>
      <c r="J241" s="12">
        <f t="shared" si="17"/>
        <v>3.0649350649350593E-2</v>
      </c>
      <c r="K241" s="12" t="e" cm="1">
        <f t="array" ref="K241">PRODUCT(J241:J300+1)^(1/5)-1</f>
        <v>#DIV/0!</v>
      </c>
      <c r="L241" s="13"/>
      <c r="M241" s="13"/>
      <c r="N241" s="13"/>
      <c r="O241" s="13"/>
      <c r="P241" s="13"/>
      <c r="Q241" s="13"/>
      <c r="R241" s="13"/>
      <c r="S241" s="14"/>
      <c r="T241" s="13"/>
      <c r="U241" s="13"/>
    </row>
    <row r="242" spans="1:21" x14ac:dyDescent="0.3">
      <c r="A242" s="2" t="s">
        <v>8</v>
      </c>
      <c r="B242" s="4">
        <v>2585.9499999999998</v>
      </c>
      <c r="C242" s="8">
        <v>38748</v>
      </c>
      <c r="D242" s="2">
        <v>19.25</v>
      </c>
      <c r="E242" s="3">
        <v>3.88</v>
      </c>
      <c r="F242" s="4">
        <v>1.47</v>
      </c>
      <c r="G242" s="3">
        <v>3277.85</v>
      </c>
      <c r="H242" s="3">
        <f t="shared" si="15"/>
        <v>134.33506493506493</v>
      </c>
      <c r="I242" s="27">
        <f t="shared" si="16"/>
        <v>170.27792207792209</v>
      </c>
      <c r="J242" s="12" t="e">
        <f t="shared" si="17"/>
        <v>#DIV/0!</v>
      </c>
      <c r="K242" s="12" t="e" cm="1">
        <f t="array" ref="K242">PRODUCT(J242:J301+1)^(1/5)-1</f>
        <v>#DIV/0!</v>
      </c>
      <c r="L242" s="12"/>
      <c r="M242" s="12"/>
      <c r="N242" s="12"/>
      <c r="O242" s="12"/>
      <c r="P242" s="12"/>
      <c r="Q242" s="12"/>
      <c r="R242" s="12"/>
      <c r="S242" s="14"/>
      <c r="T242" s="12"/>
      <c r="U242" s="12"/>
    </row>
    <row r="243" spans="1:21" x14ac:dyDescent="0.3">
      <c r="A243" s="5"/>
      <c r="B243" s="7"/>
      <c r="C243" s="9"/>
      <c r="D243" s="5"/>
      <c r="E243" s="6"/>
      <c r="F243" s="7"/>
      <c r="G243" s="6"/>
      <c r="H243" s="6"/>
      <c r="I243" s="13"/>
      <c r="J243" s="12" t="e">
        <f t="shared" si="17"/>
        <v>#DIV/0!</v>
      </c>
      <c r="K243" s="12" t="e" cm="1">
        <f t="array" ref="K243">PRODUCT(J243:J302+1)^(1/5)-1</f>
        <v>#DIV/0!</v>
      </c>
      <c r="L243" s="13"/>
      <c r="M243" s="13"/>
      <c r="N243" s="13"/>
      <c r="O243" s="13"/>
      <c r="P243" s="13"/>
      <c r="Q243" s="13"/>
      <c r="R243" s="13"/>
      <c r="S243" s="14"/>
      <c r="T243" s="13"/>
      <c r="U243" s="13"/>
    </row>
    <row r="244" spans="1:21" x14ac:dyDescent="0.3">
      <c r="A244" s="2"/>
      <c r="B244" s="4"/>
      <c r="C244" s="8"/>
      <c r="D244" s="2"/>
      <c r="E244" s="3"/>
      <c r="F244" s="4"/>
      <c r="G244" s="3"/>
      <c r="H244" s="3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4"/>
      <c r="T244" s="12"/>
      <c r="U244" s="12"/>
    </row>
    <row r="245" spans="1:21" x14ac:dyDescent="0.3">
      <c r="B245" s="7"/>
      <c r="H245" s="3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4"/>
      <c r="T245" s="12"/>
      <c r="U245" s="12"/>
    </row>
    <row r="246" spans="1:21" x14ac:dyDescent="0.3">
      <c r="B246" s="4"/>
      <c r="H246" s="3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4"/>
      <c r="T246" s="12"/>
      <c r="U246" s="12"/>
    </row>
    <row r="247" spans="1:21" x14ac:dyDescent="0.3">
      <c r="B247" s="7"/>
      <c r="H247" s="3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4"/>
      <c r="T247" s="12"/>
      <c r="U247" s="12"/>
    </row>
    <row r="248" spans="1:21" x14ac:dyDescent="0.3">
      <c r="B248" s="4"/>
      <c r="H248" s="3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4"/>
      <c r="T248" s="12"/>
      <c r="U248" s="12"/>
    </row>
    <row r="249" spans="1:21" x14ac:dyDescent="0.3">
      <c r="B249" s="7"/>
      <c r="H249" s="3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4"/>
      <c r="T249" s="12"/>
      <c r="U249" s="12"/>
    </row>
    <row r="250" spans="1:21" x14ac:dyDescent="0.3">
      <c r="B250" s="4"/>
      <c r="H250" s="3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4"/>
      <c r="T250" s="12"/>
      <c r="U250" s="12"/>
    </row>
    <row r="251" spans="1:21" x14ac:dyDescent="0.3">
      <c r="B251" s="7"/>
      <c r="H251" s="3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4"/>
      <c r="T251" s="12"/>
      <c r="U251" s="12"/>
    </row>
    <row r="252" spans="1:21" x14ac:dyDescent="0.3">
      <c r="B252" s="4"/>
      <c r="H252" s="3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4"/>
      <c r="T252" s="12"/>
      <c r="U252" s="12"/>
    </row>
    <row r="253" spans="1:21" x14ac:dyDescent="0.3">
      <c r="B253" s="7"/>
      <c r="H253" s="3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4"/>
      <c r="T253" s="12"/>
      <c r="U253" s="12"/>
    </row>
    <row r="254" spans="1:21" x14ac:dyDescent="0.3">
      <c r="B254" s="4"/>
      <c r="H254" s="3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4"/>
      <c r="T254" s="12"/>
      <c r="U254" s="12"/>
    </row>
    <row r="255" spans="1:21" x14ac:dyDescent="0.3">
      <c r="B255" s="7"/>
      <c r="H255" s="3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4"/>
      <c r="T255" s="12"/>
      <c r="U255" s="12"/>
    </row>
    <row r="256" spans="1:21" x14ac:dyDescent="0.3">
      <c r="B256" s="4"/>
      <c r="H256" s="3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4"/>
      <c r="T256" s="12"/>
      <c r="U256" s="12"/>
    </row>
    <row r="257" spans="2:21" x14ac:dyDescent="0.3">
      <c r="B257" s="7"/>
      <c r="H257" s="3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4"/>
      <c r="T257" s="12"/>
      <c r="U257" s="12"/>
    </row>
    <row r="258" spans="2:21" x14ac:dyDescent="0.3">
      <c r="B258" s="4"/>
      <c r="H258" s="3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4"/>
      <c r="T258" s="12"/>
      <c r="U258" s="12"/>
    </row>
    <row r="259" spans="2:21" x14ac:dyDescent="0.3">
      <c r="B259" s="7"/>
      <c r="H259" s="3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4"/>
      <c r="T259" s="12"/>
      <c r="U259" s="12"/>
    </row>
    <row r="260" spans="2:21" x14ac:dyDescent="0.3">
      <c r="B260" s="4"/>
      <c r="H260" s="3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4"/>
      <c r="T260" s="12"/>
      <c r="U260" s="12"/>
    </row>
    <row r="261" spans="2:21" x14ac:dyDescent="0.3">
      <c r="B261" s="7"/>
      <c r="H261" s="3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4"/>
      <c r="T261" s="12"/>
      <c r="U261" s="12"/>
    </row>
    <row r="262" spans="2:21" x14ac:dyDescent="0.3">
      <c r="B262" s="4"/>
      <c r="H262" s="3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4"/>
      <c r="T262" s="12"/>
      <c r="U262" s="12"/>
    </row>
    <row r="263" spans="2:21" x14ac:dyDescent="0.3">
      <c r="B263" s="7"/>
      <c r="H263" s="3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4"/>
      <c r="T263" s="12"/>
      <c r="U263" s="12"/>
    </row>
    <row r="264" spans="2:21" x14ac:dyDescent="0.3">
      <c r="B264" s="4"/>
      <c r="H264" s="3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4"/>
      <c r="T264" s="12"/>
      <c r="U264" s="12"/>
    </row>
    <row r="265" spans="2:21" x14ac:dyDescent="0.3">
      <c r="B265" s="7"/>
      <c r="H265" s="3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4"/>
      <c r="T265" s="12"/>
      <c r="U265" s="12"/>
    </row>
    <row r="266" spans="2:21" x14ac:dyDescent="0.3">
      <c r="B266" s="4"/>
      <c r="H266" s="3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4"/>
      <c r="T266" s="12"/>
      <c r="U266" s="12"/>
    </row>
    <row r="267" spans="2:21" x14ac:dyDescent="0.3">
      <c r="B267" s="7"/>
      <c r="H267" s="3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4"/>
      <c r="T267" s="12"/>
      <c r="U267" s="12"/>
    </row>
    <row r="268" spans="2:21" x14ac:dyDescent="0.3">
      <c r="B268" s="4"/>
      <c r="H268" s="3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4"/>
      <c r="T268" s="12"/>
      <c r="U268" s="12"/>
    </row>
    <row r="269" spans="2:21" x14ac:dyDescent="0.3">
      <c r="B269" s="7"/>
      <c r="H269" s="3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4"/>
      <c r="T269" s="12"/>
      <c r="U269" s="12"/>
    </row>
    <row r="270" spans="2:21" x14ac:dyDescent="0.3">
      <c r="B270" s="4"/>
      <c r="H270" s="3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4"/>
      <c r="T270" s="12"/>
      <c r="U270" s="12"/>
    </row>
    <row r="271" spans="2:21" x14ac:dyDescent="0.3">
      <c r="B271" s="7"/>
      <c r="H271" s="3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4"/>
      <c r="T271" s="12"/>
      <c r="U271" s="12"/>
    </row>
    <row r="272" spans="2:21" x14ac:dyDescent="0.3">
      <c r="B272" s="4"/>
      <c r="H272" s="3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4"/>
      <c r="T272" s="12"/>
      <c r="U272" s="12"/>
    </row>
    <row r="273" spans="2:21" x14ac:dyDescent="0.3">
      <c r="B273" s="7"/>
      <c r="H273" s="3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4"/>
      <c r="T273" s="12"/>
      <c r="U273" s="12"/>
    </row>
    <row r="274" spans="2:21" x14ac:dyDescent="0.3">
      <c r="B274" s="4"/>
      <c r="H274" s="3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4"/>
      <c r="T274" s="12"/>
      <c r="U274" s="12"/>
    </row>
    <row r="275" spans="2:21" x14ac:dyDescent="0.3">
      <c r="B275" s="7"/>
      <c r="H275" s="3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4"/>
      <c r="T275" s="12"/>
      <c r="U275" s="12"/>
    </row>
    <row r="276" spans="2:21" x14ac:dyDescent="0.3">
      <c r="B276" s="4"/>
      <c r="H276" s="3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4"/>
      <c r="T276" s="12"/>
      <c r="U276" s="12"/>
    </row>
    <row r="277" spans="2:21" x14ac:dyDescent="0.3">
      <c r="B277" s="7"/>
      <c r="H277" s="3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4"/>
      <c r="T277" s="12"/>
      <c r="U277" s="12"/>
    </row>
    <row r="278" spans="2:21" x14ac:dyDescent="0.3">
      <c r="B278" s="4"/>
      <c r="H278" s="3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4"/>
      <c r="T278" s="12"/>
      <c r="U278" s="12"/>
    </row>
    <row r="279" spans="2:21" x14ac:dyDescent="0.3">
      <c r="B279" s="7"/>
      <c r="H279" s="3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4"/>
      <c r="T279" s="12"/>
      <c r="U279" s="12"/>
    </row>
    <row r="280" spans="2:21" x14ac:dyDescent="0.3">
      <c r="B280" s="4"/>
      <c r="H280" s="3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4"/>
      <c r="T280" s="12"/>
      <c r="U280" s="12"/>
    </row>
    <row r="281" spans="2:21" x14ac:dyDescent="0.3">
      <c r="B281" s="7"/>
      <c r="H281" s="3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4"/>
      <c r="T281" s="12"/>
      <c r="U281" s="12"/>
    </row>
    <row r="282" spans="2:21" x14ac:dyDescent="0.3">
      <c r="B282" s="4"/>
      <c r="H282" s="3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4"/>
      <c r="T282" s="12"/>
      <c r="U282" s="12"/>
    </row>
    <row r="283" spans="2:21" x14ac:dyDescent="0.3">
      <c r="B283" s="7"/>
      <c r="H283" s="3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4"/>
      <c r="T283" s="12"/>
      <c r="U283" s="12"/>
    </row>
    <row r="284" spans="2:21" x14ac:dyDescent="0.3">
      <c r="B284" s="4"/>
      <c r="H284" s="3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4"/>
      <c r="T284" s="12"/>
      <c r="U284" s="12"/>
    </row>
    <row r="285" spans="2:21" x14ac:dyDescent="0.3">
      <c r="B285" s="7"/>
      <c r="H285" s="3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4"/>
      <c r="T285" s="12"/>
      <c r="U285" s="12"/>
    </row>
    <row r="286" spans="2:21" x14ac:dyDescent="0.3">
      <c r="B286" s="4"/>
      <c r="H286" s="3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4"/>
      <c r="T286" s="12"/>
      <c r="U286" s="12"/>
    </row>
    <row r="287" spans="2:21" x14ac:dyDescent="0.3">
      <c r="B287" s="7"/>
      <c r="H287" s="3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4"/>
      <c r="T287" s="12"/>
      <c r="U287" s="12"/>
    </row>
    <row r="288" spans="2:21" x14ac:dyDescent="0.3">
      <c r="B288" s="4"/>
      <c r="H288" s="3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4"/>
      <c r="T288" s="12"/>
      <c r="U288" s="12"/>
    </row>
    <row r="289" spans="2:21" x14ac:dyDescent="0.3">
      <c r="B289" s="7"/>
      <c r="H289" s="3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4"/>
      <c r="T289" s="12"/>
      <c r="U289" s="12"/>
    </row>
    <row r="290" spans="2:21" x14ac:dyDescent="0.3">
      <c r="B290" s="4"/>
      <c r="H290" s="3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4"/>
      <c r="T290" s="12"/>
      <c r="U290" s="12"/>
    </row>
    <row r="291" spans="2:21" x14ac:dyDescent="0.3">
      <c r="B291" s="7"/>
      <c r="H291" s="3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4"/>
      <c r="T291" s="12"/>
      <c r="U291" s="12"/>
    </row>
    <row r="292" spans="2:21" x14ac:dyDescent="0.3">
      <c r="B292" s="4"/>
      <c r="H292" s="3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4"/>
      <c r="T292" s="12"/>
      <c r="U292" s="12"/>
    </row>
    <row r="293" spans="2:21" x14ac:dyDescent="0.3">
      <c r="B293" s="7"/>
      <c r="H293" s="3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4"/>
      <c r="T293" s="12"/>
      <c r="U293" s="12"/>
    </row>
    <row r="294" spans="2:21" x14ac:dyDescent="0.3">
      <c r="B294" s="4"/>
      <c r="H294" s="3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4"/>
      <c r="T294" s="12"/>
      <c r="U294" s="12"/>
    </row>
    <row r="295" spans="2:21" x14ac:dyDescent="0.3">
      <c r="B295" s="7"/>
      <c r="H295" s="3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4"/>
      <c r="T295" s="12"/>
      <c r="U295" s="12"/>
    </row>
    <row r="296" spans="2:21" x14ac:dyDescent="0.3">
      <c r="B296" s="4"/>
      <c r="H296" s="3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4"/>
      <c r="T296" s="12"/>
      <c r="U296" s="12"/>
    </row>
    <row r="297" spans="2:21" x14ac:dyDescent="0.3">
      <c r="B297" s="7"/>
      <c r="H297" s="3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4"/>
      <c r="T297" s="12"/>
      <c r="U297" s="12"/>
    </row>
    <row r="298" spans="2:21" x14ac:dyDescent="0.3">
      <c r="B298" s="4"/>
      <c r="H298" s="3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4"/>
      <c r="T298" s="12"/>
      <c r="U298" s="12"/>
    </row>
    <row r="299" spans="2:21" x14ac:dyDescent="0.3">
      <c r="B299" s="7"/>
      <c r="H299" s="3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4"/>
      <c r="T299" s="12"/>
      <c r="U299" s="12"/>
    </row>
    <row r="300" spans="2:21" x14ac:dyDescent="0.3">
      <c r="B300" s="4"/>
      <c r="H300" s="3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4"/>
      <c r="T300" s="12"/>
      <c r="U300" s="12"/>
    </row>
    <row r="301" spans="2:21" x14ac:dyDescent="0.3">
      <c r="B301" s="7"/>
      <c r="H301" s="3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4"/>
      <c r="T301" s="12"/>
      <c r="U301" s="12"/>
    </row>
    <row r="302" spans="2:21" x14ac:dyDescent="0.3">
      <c r="B302" s="4"/>
      <c r="H302" s="3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4"/>
      <c r="T302" s="12"/>
      <c r="U302" s="12"/>
    </row>
    <row r="303" spans="2:21" x14ac:dyDescent="0.3">
      <c r="B303" s="7"/>
      <c r="H303" s="3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4"/>
      <c r="T303" s="12"/>
      <c r="U303" s="12"/>
    </row>
    <row r="304" spans="2:21" x14ac:dyDescent="0.3">
      <c r="B304" s="4"/>
      <c r="H304" s="3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4"/>
      <c r="T304" s="12"/>
      <c r="U304" s="12"/>
    </row>
    <row r="305" spans="2:21" x14ac:dyDescent="0.3">
      <c r="B305" s="7"/>
      <c r="H305" s="3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4"/>
      <c r="T305" s="12"/>
      <c r="U305" s="12"/>
    </row>
    <row r="306" spans="2:21" x14ac:dyDescent="0.3">
      <c r="B306" s="4"/>
      <c r="H306" s="3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4"/>
      <c r="T306" s="12"/>
      <c r="U306" s="12"/>
    </row>
    <row r="307" spans="2:21" x14ac:dyDescent="0.3">
      <c r="B307" s="7"/>
      <c r="H307" s="3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4"/>
      <c r="T307" s="12"/>
      <c r="U307" s="12"/>
    </row>
    <row r="308" spans="2:21" x14ac:dyDescent="0.3">
      <c r="B308" s="4"/>
      <c r="H308" s="3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4"/>
      <c r="T308" s="12"/>
      <c r="U308" s="12"/>
    </row>
    <row r="309" spans="2:21" x14ac:dyDescent="0.3">
      <c r="B309" s="7"/>
      <c r="H309" s="3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4"/>
      <c r="T309" s="12"/>
      <c r="U309" s="12"/>
    </row>
    <row r="310" spans="2:21" x14ac:dyDescent="0.3">
      <c r="B310" s="4"/>
      <c r="H310" s="3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4"/>
      <c r="T310" s="12"/>
      <c r="U310" s="12"/>
    </row>
    <row r="311" spans="2:21" x14ac:dyDescent="0.3">
      <c r="B311" s="7"/>
      <c r="H311" s="3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4"/>
      <c r="T311" s="12"/>
      <c r="U311" s="12"/>
    </row>
    <row r="312" spans="2:21" x14ac:dyDescent="0.3">
      <c r="B312" s="4"/>
      <c r="H312" s="3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4"/>
      <c r="T312" s="12"/>
      <c r="U312" s="12"/>
    </row>
    <row r="313" spans="2:21" x14ac:dyDescent="0.3">
      <c r="B313" s="7"/>
      <c r="H313" s="3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4"/>
      <c r="T313" s="12"/>
      <c r="U313" s="12"/>
    </row>
    <row r="314" spans="2:21" x14ac:dyDescent="0.3">
      <c r="B314" s="4"/>
      <c r="H314" s="3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4"/>
      <c r="T314" s="12"/>
      <c r="U314" s="12"/>
    </row>
    <row r="315" spans="2:21" x14ac:dyDescent="0.3">
      <c r="B315" s="7"/>
      <c r="H315" s="3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4"/>
      <c r="T315" s="12"/>
      <c r="U315" s="12"/>
    </row>
    <row r="316" spans="2:21" x14ac:dyDescent="0.3">
      <c r="B316" s="4"/>
      <c r="H316" s="3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4"/>
      <c r="T316" s="12"/>
      <c r="U316" s="12"/>
    </row>
    <row r="317" spans="2:21" x14ac:dyDescent="0.3">
      <c r="B317" s="7"/>
      <c r="H317" s="3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4"/>
      <c r="T317" s="12"/>
      <c r="U317" s="12"/>
    </row>
    <row r="318" spans="2:21" x14ac:dyDescent="0.3">
      <c r="B318" s="4"/>
      <c r="H318" s="3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4"/>
      <c r="T318" s="12"/>
      <c r="U318" s="12"/>
    </row>
    <row r="319" spans="2:21" x14ac:dyDescent="0.3">
      <c r="B319" s="7"/>
      <c r="H319" s="3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4"/>
      <c r="T319" s="12"/>
      <c r="U319" s="12"/>
    </row>
    <row r="320" spans="2:21" x14ac:dyDescent="0.3">
      <c r="B320" s="4"/>
      <c r="H320" s="3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4"/>
      <c r="T320" s="12"/>
      <c r="U320" s="12"/>
    </row>
    <row r="321" spans="2:21" x14ac:dyDescent="0.3">
      <c r="B321" s="7"/>
      <c r="H321" s="3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4"/>
      <c r="T321" s="12"/>
      <c r="U321" s="12"/>
    </row>
    <row r="322" spans="2:21" x14ac:dyDescent="0.3">
      <c r="B322" s="4"/>
      <c r="H322" s="3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4"/>
      <c r="T322" s="12"/>
      <c r="U322" s="12"/>
    </row>
    <row r="323" spans="2:21" x14ac:dyDescent="0.3">
      <c r="B323" s="7"/>
      <c r="H323" s="3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4"/>
      <c r="T323" s="12"/>
      <c r="U323" s="12"/>
    </row>
    <row r="324" spans="2:21" x14ac:dyDescent="0.3">
      <c r="B324" s="4"/>
      <c r="H324" s="3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4"/>
      <c r="T324" s="12"/>
      <c r="U324" s="12"/>
    </row>
    <row r="325" spans="2:21" x14ac:dyDescent="0.3">
      <c r="B325" s="7"/>
      <c r="H325" s="3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4"/>
      <c r="T325" s="12"/>
      <c r="U325" s="12"/>
    </row>
    <row r="326" spans="2:21" x14ac:dyDescent="0.3">
      <c r="B326" s="4"/>
      <c r="H326" s="3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4"/>
      <c r="T326" s="12"/>
      <c r="U326" s="12"/>
    </row>
    <row r="327" spans="2:21" x14ac:dyDescent="0.3">
      <c r="B327" s="7"/>
      <c r="H327" s="3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4"/>
      <c r="T327" s="12"/>
      <c r="U327" s="12"/>
    </row>
    <row r="328" spans="2:21" x14ac:dyDescent="0.3">
      <c r="B328" s="4"/>
      <c r="H328" s="3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4"/>
      <c r="T328" s="12"/>
      <c r="U328" s="12"/>
    </row>
    <row r="329" spans="2:21" x14ac:dyDescent="0.3">
      <c r="B329" s="7"/>
      <c r="H329" s="3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4"/>
      <c r="T329" s="12"/>
      <c r="U329" s="12"/>
    </row>
    <row r="330" spans="2:21" x14ac:dyDescent="0.3">
      <c r="B330" s="4"/>
      <c r="H330" s="3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4"/>
      <c r="T330" s="12"/>
      <c r="U330" s="12"/>
    </row>
    <row r="331" spans="2:21" x14ac:dyDescent="0.3">
      <c r="B331" s="7"/>
      <c r="H331" s="3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4"/>
      <c r="T331" s="12"/>
      <c r="U331" s="12"/>
    </row>
    <row r="332" spans="2:21" x14ac:dyDescent="0.3">
      <c r="B332" s="4"/>
      <c r="H332" s="3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4"/>
      <c r="T332" s="12"/>
      <c r="U332" s="12"/>
    </row>
    <row r="333" spans="2:21" x14ac:dyDescent="0.3">
      <c r="B333" s="7"/>
      <c r="H333" s="3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4"/>
      <c r="T333" s="12"/>
      <c r="U333" s="12"/>
    </row>
    <row r="334" spans="2:21" x14ac:dyDescent="0.3">
      <c r="B334" s="4"/>
      <c r="H334" s="3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4"/>
      <c r="T334" s="12"/>
      <c r="U334" s="12"/>
    </row>
    <row r="335" spans="2:21" x14ac:dyDescent="0.3">
      <c r="B335" s="7"/>
      <c r="H335" s="3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4"/>
      <c r="T335" s="12"/>
      <c r="U335" s="12"/>
    </row>
    <row r="336" spans="2:21" x14ac:dyDescent="0.3">
      <c r="B336" s="4"/>
      <c r="H336" s="3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4"/>
      <c r="T336" s="12"/>
      <c r="U336" s="12"/>
    </row>
    <row r="337" spans="2:21" x14ac:dyDescent="0.3">
      <c r="B337" s="7"/>
      <c r="H337" s="3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4"/>
      <c r="T337" s="12"/>
      <c r="U337" s="12"/>
    </row>
    <row r="338" spans="2:21" x14ac:dyDescent="0.3">
      <c r="B338" s="4"/>
      <c r="H338" s="3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4"/>
      <c r="T338" s="12"/>
      <c r="U338" s="12"/>
    </row>
    <row r="339" spans="2:21" x14ac:dyDescent="0.3">
      <c r="B339" s="7"/>
      <c r="H339" s="3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4"/>
      <c r="T339" s="12"/>
      <c r="U339" s="12"/>
    </row>
    <row r="340" spans="2:21" x14ac:dyDescent="0.3">
      <c r="B340" s="4"/>
      <c r="H340" s="3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4"/>
      <c r="T340" s="12"/>
      <c r="U340" s="12"/>
    </row>
    <row r="341" spans="2:21" x14ac:dyDescent="0.3">
      <c r="B341" s="7"/>
      <c r="H341" s="3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4"/>
      <c r="T341" s="12"/>
      <c r="U341" s="12"/>
    </row>
    <row r="342" spans="2:21" x14ac:dyDescent="0.3">
      <c r="B342" s="4"/>
      <c r="H342" s="3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4"/>
      <c r="T342" s="12"/>
      <c r="U342" s="12"/>
    </row>
    <row r="343" spans="2:21" x14ac:dyDescent="0.3">
      <c r="B343" s="7"/>
      <c r="H343" s="3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4"/>
      <c r="T343" s="12"/>
      <c r="U343" s="12"/>
    </row>
    <row r="344" spans="2:21" x14ac:dyDescent="0.3">
      <c r="B344" s="4"/>
      <c r="H344" s="3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4"/>
      <c r="T344" s="12"/>
      <c r="U344" s="12"/>
    </row>
    <row r="345" spans="2:21" x14ac:dyDescent="0.3">
      <c r="B345" s="7"/>
      <c r="H345" s="3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4"/>
      <c r="T345" s="12"/>
      <c r="U345" s="12"/>
    </row>
    <row r="346" spans="2:21" x14ac:dyDescent="0.3">
      <c r="B346" s="4"/>
      <c r="H346" s="3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4"/>
      <c r="T346" s="12"/>
      <c r="U346" s="12"/>
    </row>
    <row r="347" spans="2:21" x14ac:dyDescent="0.3">
      <c r="B347" s="7"/>
      <c r="H347" s="3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4"/>
      <c r="T347" s="12"/>
      <c r="U347" s="12"/>
    </row>
    <row r="348" spans="2:21" x14ac:dyDescent="0.3">
      <c r="B348" s="4"/>
      <c r="H348" s="3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4"/>
      <c r="T348" s="12"/>
      <c r="U348" s="12"/>
    </row>
    <row r="349" spans="2:21" x14ac:dyDescent="0.3">
      <c r="B349" s="7"/>
      <c r="H349" s="3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4"/>
      <c r="T349" s="12"/>
      <c r="U349" s="12"/>
    </row>
    <row r="350" spans="2:21" x14ac:dyDescent="0.3">
      <c r="B350" s="4"/>
      <c r="H350" s="3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4"/>
      <c r="T350" s="12"/>
      <c r="U350" s="12"/>
    </row>
    <row r="351" spans="2:21" x14ac:dyDescent="0.3">
      <c r="B351" s="7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4"/>
      <c r="T351" s="11"/>
      <c r="U351" s="11"/>
    </row>
    <row r="352" spans="2:21" x14ac:dyDescent="0.3">
      <c r="B352" s="4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4"/>
      <c r="T352" s="11"/>
      <c r="U352" s="11"/>
    </row>
    <row r="353" spans="2:21" x14ac:dyDescent="0.3">
      <c r="B353" s="7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4"/>
      <c r="T353" s="11"/>
      <c r="U353" s="11"/>
    </row>
    <row r="354" spans="2:21" x14ac:dyDescent="0.3">
      <c r="B354" s="4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4"/>
      <c r="T354" s="11"/>
      <c r="U354" s="11"/>
    </row>
    <row r="355" spans="2:21" x14ac:dyDescent="0.3">
      <c r="B355" s="7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4"/>
      <c r="T355" s="11"/>
      <c r="U355" s="11"/>
    </row>
    <row r="356" spans="2:21" x14ac:dyDescent="0.3">
      <c r="B356" s="4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4"/>
      <c r="T356" s="11"/>
      <c r="U356" s="11"/>
    </row>
    <row r="357" spans="2:21" x14ac:dyDescent="0.3">
      <c r="B357" s="7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4"/>
      <c r="T357" s="11"/>
      <c r="U357" s="11"/>
    </row>
    <row r="358" spans="2:21" x14ac:dyDescent="0.3">
      <c r="B358" s="4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4"/>
      <c r="T358" s="11"/>
      <c r="U358" s="11"/>
    </row>
    <row r="359" spans="2:21" x14ac:dyDescent="0.3">
      <c r="B359" s="7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4"/>
      <c r="T359" s="11"/>
      <c r="U359" s="11"/>
    </row>
    <row r="360" spans="2:21" x14ac:dyDescent="0.3">
      <c r="B360" s="4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4"/>
      <c r="T360" s="11"/>
      <c r="U360" s="11"/>
    </row>
    <row r="361" spans="2:21" x14ac:dyDescent="0.3">
      <c r="B361" s="7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4"/>
      <c r="T361" s="11"/>
      <c r="U361" s="11"/>
    </row>
    <row r="362" spans="2:21" x14ac:dyDescent="0.3">
      <c r="B362" s="4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4"/>
      <c r="T362" s="11"/>
      <c r="U362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ADED-424E-4669-83C4-90F6089B4EF0}">
  <dimension ref="A1:J329"/>
  <sheetViews>
    <sheetView zoomScale="130" zoomScaleNormal="130" workbookViewId="0">
      <selection activeCell="I3" sqref="I3"/>
    </sheetView>
  </sheetViews>
  <sheetFormatPr defaultColWidth="9.6640625" defaultRowHeight="15" customHeight="1" x14ac:dyDescent="0.3"/>
  <cols>
    <col min="1" max="1" width="9.44140625" bestFit="1" customWidth="1"/>
    <col min="2" max="2" width="11" bestFit="1" customWidth="1"/>
    <col min="3" max="4" width="5.88671875" bestFit="1" customWidth="1"/>
    <col min="5" max="5" width="12.109375" bestFit="1" customWidth="1"/>
    <col min="6" max="6" width="12.5546875" bestFit="1" customWidth="1"/>
    <col min="7" max="7" width="11.109375" bestFit="1" customWidth="1"/>
    <col min="8" max="8" width="12" bestFit="1" customWidth="1"/>
    <col min="9" max="9" width="12.6640625" bestFit="1" customWidth="1"/>
    <col min="10" max="10" width="8.6640625" bestFit="1" customWidth="1"/>
  </cols>
  <sheetData>
    <row r="1" spans="1:10" ht="26.4" x14ac:dyDescent="0.3">
      <c r="A1" s="1" t="s">
        <v>2</v>
      </c>
      <c r="B1" s="1" t="s">
        <v>6</v>
      </c>
      <c r="C1" s="1" t="s">
        <v>3</v>
      </c>
      <c r="D1" s="16" t="s">
        <v>9</v>
      </c>
      <c r="E1" s="1" t="s">
        <v>5</v>
      </c>
      <c r="F1" s="1" t="s">
        <v>7</v>
      </c>
      <c r="G1" s="16" t="s">
        <v>10</v>
      </c>
      <c r="H1" s="16" t="s">
        <v>11</v>
      </c>
      <c r="I1" s="16" t="s">
        <v>12</v>
      </c>
      <c r="J1" t="s">
        <v>13</v>
      </c>
    </row>
    <row r="2" spans="1:10" ht="14.4" x14ac:dyDescent="0.3">
      <c r="A2" s="17">
        <v>46053</v>
      </c>
      <c r="B2" s="18">
        <v>1331674.6771575799</v>
      </c>
      <c r="C2" s="18">
        <v>24.262</v>
      </c>
      <c r="D2" s="18">
        <v>16.268000000000001</v>
      </c>
      <c r="E2" s="18">
        <v>1.575</v>
      </c>
      <c r="F2" s="19">
        <f>B2/C2</f>
        <v>54887.258971130985</v>
      </c>
      <c r="G2" s="20">
        <f>F2/F3-1</f>
        <v>3.3324437913331728E-2</v>
      </c>
      <c r="H2" s="20" cm="1">
        <f t="array" ref="H2">PRODUCT(G2:G37+1)^(1/3)-1</f>
        <v>0.12608564419459123</v>
      </c>
      <c r="I2" s="21">
        <f>AVERAGE(F2:F121)</f>
        <v>29320.154926724827</v>
      </c>
      <c r="J2" s="26">
        <v>91.69</v>
      </c>
    </row>
    <row r="3" spans="1:10" ht="14.4" x14ac:dyDescent="0.3">
      <c r="A3" s="17">
        <v>46022</v>
      </c>
      <c r="B3" s="18">
        <v>1276670.9282857201</v>
      </c>
      <c r="C3" s="18">
        <v>24.035</v>
      </c>
      <c r="D3" s="18">
        <v>16.288</v>
      </c>
      <c r="E3" s="18">
        <v>1.593</v>
      </c>
      <c r="F3" s="19">
        <f t="shared" ref="F3:F66" si="0">B3/C3</f>
        <v>53117.159487652178</v>
      </c>
      <c r="G3" s="20">
        <f t="shared" ref="G3:G66" si="1">F3/F4-1</f>
        <v>2.2020034862034965E-2</v>
      </c>
      <c r="H3" s="20" cm="1">
        <f t="array" ref="H3">PRODUCT(G3:G38+1)^(1/3)-1</f>
        <v>0.11096709144868977</v>
      </c>
      <c r="I3" s="21">
        <f t="shared" ref="I3:I66" si="2">AVERAGE(F3:F122)</f>
        <v>28996.208727530917</v>
      </c>
      <c r="J3" s="26">
        <v>89.87</v>
      </c>
    </row>
    <row r="4" spans="1:10" ht="14.4" x14ac:dyDescent="0.3">
      <c r="A4" s="17">
        <v>45991</v>
      </c>
      <c r="B4" s="18">
        <v>1259246.9945073598</v>
      </c>
      <c r="C4" s="18">
        <v>24.228999999999999</v>
      </c>
      <c r="D4" s="18">
        <v>16.219000000000001</v>
      </c>
      <c r="E4" s="18">
        <v>1.581</v>
      </c>
      <c r="F4" s="19">
        <f t="shared" si="0"/>
        <v>51972.718416251591</v>
      </c>
      <c r="G4" s="20">
        <f t="shared" si="1"/>
        <v>3.2697036477798092E-2</v>
      </c>
      <c r="H4" s="20" cm="1">
        <f t="array" ref="H4">PRODUCT(G4:G39+1)^(1/3)-1</f>
        <v>0.11253236161498359</v>
      </c>
      <c r="I4" s="21">
        <f t="shared" si="2"/>
        <v>28684.251986117266</v>
      </c>
      <c r="J4" s="26">
        <v>89.36</v>
      </c>
    </row>
    <row r="5" spans="1:10" ht="14.4" x14ac:dyDescent="0.3">
      <c r="A5" s="17">
        <v>45961</v>
      </c>
      <c r="B5" s="18">
        <v>1247409.2140893899</v>
      </c>
      <c r="C5" s="18">
        <v>24.786000000000001</v>
      </c>
      <c r="D5" s="18">
        <v>16.024999999999999</v>
      </c>
      <c r="E5" s="18">
        <v>1.579</v>
      </c>
      <c r="F5" s="19">
        <f t="shared" si="0"/>
        <v>50327.169131339862</v>
      </c>
      <c r="G5" s="20">
        <f t="shared" si="1"/>
        <v>2.896656205913839E-3</v>
      </c>
      <c r="H5" s="20" cm="1">
        <f t="array" ref="H5">PRODUCT(G5:G40+1)^(1/3)-1</f>
        <v>0.10677619986610543</v>
      </c>
      <c r="I5" s="21">
        <f t="shared" si="2"/>
        <v>28382.442900308783</v>
      </c>
      <c r="J5" s="26">
        <v>88.77</v>
      </c>
    </row>
    <row r="6" spans="1:10" ht="14.4" x14ac:dyDescent="0.3">
      <c r="A6" s="17">
        <v>45930</v>
      </c>
      <c r="B6" s="18">
        <v>1223884.1563075599</v>
      </c>
      <c r="C6" s="18">
        <v>24.388999999999999</v>
      </c>
      <c r="D6" s="18">
        <v>15.868</v>
      </c>
      <c r="E6" s="18">
        <v>1.617</v>
      </c>
      <c r="F6" s="19">
        <f t="shared" si="0"/>
        <v>50181.809680903687</v>
      </c>
      <c r="G6" s="20">
        <f t="shared" si="1"/>
        <v>1.6493521793920829E-2</v>
      </c>
      <c r="H6" s="20" cm="1">
        <f t="array" ref="H6">PRODUCT(G6:G41+1)^(1/3)-1</f>
        <v>0.11226678002530166</v>
      </c>
      <c r="I6" s="21">
        <f t="shared" si="2"/>
        <v>28095.311012437203</v>
      </c>
      <c r="J6" s="26">
        <v>88.84</v>
      </c>
    </row>
    <row r="7" spans="1:10" ht="14.4" x14ac:dyDescent="0.3">
      <c r="A7" s="17">
        <v>45900</v>
      </c>
      <c r="B7" s="18">
        <v>1176824.00677011</v>
      </c>
      <c r="C7" s="18">
        <v>23.838000000000001</v>
      </c>
      <c r="D7" s="18">
        <v>15.726000000000001</v>
      </c>
      <c r="E7" s="18">
        <v>1.657</v>
      </c>
      <c r="F7" s="19">
        <f t="shared" si="0"/>
        <v>49367.564676990936</v>
      </c>
      <c r="G7" s="20">
        <f t="shared" si="1"/>
        <v>2.6897931194453939E-2</v>
      </c>
      <c r="H7" s="20" cm="1">
        <f t="array" ref="H7">PRODUCT(G7:G42+1)^(1/3)-1</f>
        <v>0.11597583409806744</v>
      </c>
      <c r="I7" s="21">
        <f t="shared" si="2"/>
        <v>27808.936253896158</v>
      </c>
      <c r="J7" s="26">
        <v>88.17</v>
      </c>
    </row>
    <row r="8" spans="1:10" ht="14.4" x14ac:dyDescent="0.3">
      <c r="A8" s="17">
        <v>45869</v>
      </c>
      <c r="B8" s="18">
        <v>1138451.3140035199</v>
      </c>
      <c r="C8" s="18">
        <v>23.681000000000001</v>
      </c>
      <c r="D8" s="18">
        <v>15.589</v>
      </c>
      <c r="E8" s="18">
        <v>1.6850000000000001</v>
      </c>
      <c r="F8" s="19">
        <f t="shared" si="0"/>
        <v>48074.461129323929</v>
      </c>
      <c r="G8" s="20">
        <f t="shared" si="1"/>
        <v>1.4945354778344688E-2</v>
      </c>
      <c r="H8" s="20" cm="1">
        <f t="array" ref="H8">PRODUCT(G8:G43+1)^(1/3)-1</f>
        <v>0.10274663890353608</v>
      </c>
      <c r="I8" s="21">
        <f t="shared" si="2"/>
        <v>27531.629375763259</v>
      </c>
      <c r="J8" s="26">
        <v>87.52</v>
      </c>
    </row>
    <row r="9" spans="1:10" ht="14.4" x14ac:dyDescent="0.3">
      <c r="A9" s="17">
        <v>45838</v>
      </c>
      <c r="B9" s="18">
        <v>1100609.1840726999</v>
      </c>
      <c r="C9" s="18">
        <v>23.236000000000001</v>
      </c>
      <c r="D9" s="18">
        <v>15.531000000000001</v>
      </c>
      <c r="E9" s="18">
        <v>1.716</v>
      </c>
      <c r="F9" s="19">
        <f t="shared" si="0"/>
        <v>47366.551216762775</v>
      </c>
      <c r="G9" s="20">
        <f t="shared" si="1"/>
        <v>1.0499469346711976E-2</v>
      </c>
      <c r="H9" s="20" cm="1">
        <f t="array" ref="H9">PRODUCT(G9:G44+1)^(1/3)-1</f>
        <v>9.5055251717346856E-2</v>
      </c>
      <c r="I9" s="21">
        <f t="shared" si="2"/>
        <v>27260.063814367652</v>
      </c>
      <c r="J9" s="26">
        <v>85.7</v>
      </c>
    </row>
    <row r="10" spans="1:10" ht="14.4" x14ac:dyDescent="0.3">
      <c r="A10" s="17">
        <v>45808</v>
      </c>
      <c r="B10" s="18">
        <v>1052986.40801985</v>
      </c>
      <c r="C10" s="18">
        <v>22.463999999999999</v>
      </c>
      <c r="D10" s="18">
        <v>15.526</v>
      </c>
      <c r="E10" s="18">
        <v>1.7749999999999999</v>
      </c>
      <c r="F10" s="19">
        <f t="shared" si="0"/>
        <v>46874.394943903586</v>
      </c>
      <c r="G10" s="20">
        <f t="shared" si="1"/>
        <v>1.1773623619440787E-2</v>
      </c>
      <c r="H10" s="20" cm="1">
        <f t="array" ref="H10">PRODUCT(G10:G45+1)^(1/3)-1</f>
        <v>9.585316510234243E-2</v>
      </c>
      <c r="I10" s="21">
        <f t="shared" si="2"/>
        <v>26994.045634944436</v>
      </c>
      <c r="J10" s="26">
        <v>85.53</v>
      </c>
    </row>
    <row r="11" spans="1:10" ht="14.4" x14ac:dyDescent="0.3">
      <c r="A11" s="17">
        <v>45777</v>
      </c>
      <c r="B11" s="18">
        <v>983331.65587500005</v>
      </c>
      <c r="C11" s="18">
        <v>21.225000000000001</v>
      </c>
      <c r="D11" s="18">
        <v>15.664999999999999</v>
      </c>
      <c r="E11" s="18">
        <v>1.861</v>
      </c>
      <c r="F11" s="19">
        <f t="shared" si="0"/>
        <v>46328.935494699646</v>
      </c>
      <c r="G11" s="20">
        <f t="shared" si="1"/>
        <v>1.0121658940248635E-2</v>
      </c>
      <c r="H11" s="20" cm="1">
        <f t="array" ref="H11">PRODUCT(G11:G46+1)^(1/3)-1</f>
        <v>0.10521150278831337</v>
      </c>
      <c r="I11" s="21">
        <f t="shared" si="2"/>
        <v>26731.572608722669</v>
      </c>
      <c r="J11" s="26">
        <v>84.6</v>
      </c>
    </row>
    <row r="12" spans="1:10" ht="14.4" x14ac:dyDescent="0.3">
      <c r="A12" s="17">
        <v>45747</v>
      </c>
      <c r="B12" s="18">
        <v>984577.69859931991</v>
      </c>
      <c r="C12" s="18">
        <v>21.466999999999999</v>
      </c>
      <c r="D12" s="18">
        <v>15.739000000000001</v>
      </c>
      <c r="E12" s="18">
        <v>1.831</v>
      </c>
      <c r="F12" s="19">
        <f t="shared" si="0"/>
        <v>45864.708557288861</v>
      </c>
      <c r="G12" s="20">
        <f t="shared" si="1"/>
        <v>-6.4655303351359716E-3</v>
      </c>
      <c r="H12" s="20" cm="1">
        <f t="array" ref="H12">PRODUCT(G12:G47+1)^(1/3)-1</f>
        <v>9.4523707902711696E-2</v>
      </c>
      <c r="I12" s="21">
        <f t="shared" si="2"/>
        <v>26475.517308032002</v>
      </c>
      <c r="J12" s="26">
        <v>85.46</v>
      </c>
    </row>
    <row r="13" spans="1:10" ht="14.4" x14ac:dyDescent="0.3">
      <c r="A13" s="17">
        <v>45716</v>
      </c>
      <c r="B13" s="18">
        <v>1054690.12742139</v>
      </c>
      <c r="C13" s="18">
        <v>22.847000000000001</v>
      </c>
      <c r="D13" s="18">
        <v>15.641999999999999</v>
      </c>
      <c r="E13" s="18">
        <v>1.722</v>
      </c>
      <c r="F13" s="19">
        <f t="shared" si="0"/>
        <v>46163.17798491662</v>
      </c>
      <c r="G13" s="20">
        <f t="shared" si="1"/>
        <v>3.3758376528983947E-2</v>
      </c>
      <c r="H13" s="20" cm="1">
        <f t="array" ref="H13">PRODUCT(G13:G48+1)^(1/3)-1</f>
        <v>0.10994016952057284</v>
      </c>
      <c r="I13" s="21">
        <f t="shared" si="2"/>
        <v>26218.51088850019</v>
      </c>
      <c r="J13" s="26">
        <v>87.47</v>
      </c>
    </row>
    <row r="14" spans="1:10" ht="14.4" x14ac:dyDescent="0.3">
      <c r="A14" s="17">
        <v>45688</v>
      </c>
      <c r="B14" s="18">
        <v>1051283.8984385601</v>
      </c>
      <c r="C14" s="18">
        <v>23.542000000000002</v>
      </c>
      <c r="D14" s="18">
        <v>15.635</v>
      </c>
      <c r="E14" s="18">
        <v>1.6859999999999999</v>
      </c>
      <c r="F14" s="19">
        <f t="shared" si="0"/>
        <v>44655.674897568599</v>
      </c>
      <c r="G14" s="20">
        <f t="shared" si="1"/>
        <v>2.499648303213986E-2</v>
      </c>
      <c r="H14" s="20" cm="1">
        <f t="array" ref="H14">PRODUCT(G14:G49+1)^(1/3)-1</f>
        <v>0.1567285336349451</v>
      </c>
      <c r="I14" s="21">
        <f t="shared" si="2"/>
        <v>25962.943717529317</v>
      </c>
      <c r="J14" s="26">
        <v>86.56</v>
      </c>
    </row>
    <row r="15" spans="1:10" ht="14.4" x14ac:dyDescent="0.3">
      <c r="A15" s="17">
        <v>45657</v>
      </c>
      <c r="B15" s="18">
        <v>1003601.61617075</v>
      </c>
      <c r="C15" s="18">
        <v>23.036000000000001</v>
      </c>
      <c r="D15" s="18">
        <v>15.49</v>
      </c>
      <c r="E15" s="18">
        <v>1.734</v>
      </c>
      <c r="F15" s="19">
        <f t="shared" si="0"/>
        <v>43566.6615806021</v>
      </c>
      <c r="G15" s="20">
        <f t="shared" si="1"/>
        <v>7.0711767410729376E-3</v>
      </c>
      <c r="H15" s="20" cm="1">
        <f t="array" ref="H15">PRODUCT(G15:G50+1)^(1/3)-1</f>
        <v>0.12694881478562192</v>
      </c>
      <c r="I15" s="21">
        <f t="shared" si="2"/>
        <v>25719.76901537571</v>
      </c>
      <c r="J15" s="26">
        <v>85.55</v>
      </c>
    </row>
    <row r="16" spans="1:10" ht="14.4" x14ac:dyDescent="0.3">
      <c r="A16" s="17">
        <v>45626</v>
      </c>
      <c r="B16" s="18">
        <v>1018531.26565792</v>
      </c>
      <c r="C16" s="18">
        <v>23.544</v>
      </c>
      <c r="D16" s="18">
        <v>15.406000000000001</v>
      </c>
      <c r="E16" s="18">
        <v>1.7010000000000001</v>
      </c>
      <c r="F16" s="19">
        <f t="shared" si="0"/>
        <v>43260.757121046554</v>
      </c>
      <c r="G16" s="20">
        <f t="shared" si="1"/>
        <v>-1.337843265837968E-3</v>
      </c>
      <c r="H16" s="20" cm="1">
        <f t="array" ref="H16">PRODUCT(G16:G51+1)^(1/3)-1</f>
        <v>0.13695320295635294</v>
      </c>
      <c r="I16" s="21">
        <f t="shared" si="2"/>
        <v>25488.988990466543</v>
      </c>
      <c r="J16" s="26">
        <v>84.56</v>
      </c>
    </row>
    <row r="17" spans="1:10" ht="14.4" x14ac:dyDescent="0.3">
      <c r="A17" s="17">
        <v>45596</v>
      </c>
      <c r="B17" s="18">
        <v>968086.54821042006</v>
      </c>
      <c r="C17" s="18">
        <v>22.347999999999999</v>
      </c>
      <c r="D17" s="18">
        <v>15.430999999999999</v>
      </c>
      <c r="E17" s="18">
        <v>1.7809999999999999</v>
      </c>
      <c r="F17" s="19">
        <f t="shared" si="0"/>
        <v>43318.710766530341</v>
      </c>
      <c r="G17" s="20">
        <f t="shared" si="1"/>
        <v>-2.5052251051012053E-3</v>
      </c>
      <c r="H17" s="20" cm="1">
        <f t="array" ref="H17">PRODUCT(G17:G52+1)^(1/3)-1</f>
        <v>0.12994421979030024</v>
      </c>
      <c r="I17" s="21">
        <f t="shared" si="2"/>
        <v>25259.708690828083</v>
      </c>
      <c r="J17" s="26">
        <v>84.06</v>
      </c>
    </row>
    <row r="18" spans="1:10" ht="14.4" x14ac:dyDescent="0.3">
      <c r="A18" s="17">
        <v>45565</v>
      </c>
      <c r="B18" s="18">
        <v>984154.15107767994</v>
      </c>
      <c r="C18" s="18">
        <v>22.661999999999999</v>
      </c>
      <c r="D18" s="18">
        <v>15.317</v>
      </c>
      <c r="E18" s="18">
        <v>1.768</v>
      </c>
      <c r="F18" s="19">
        <f t="shared" si="0"/>
        <v>43427.50644593063</v>
      </c>
      <c r="G18" s="20">
        <f t="shared" si="1"/>
        <v>1.9449257542132337E-3</v>
      </c>
      <c r="H18" s="20" cm="1">
        <f t="array" ref="H18">PRODUCT(G18:G53+1)^(1/3)-1</f>
        <v>0.15577127469971663</v>
      </c>
      <c r="I18" s="21">
        <f t="shared" si="2"/>
        <v>25026.588941138511</v>
      </c>
      <c r="J18" s="26">
        <v>83.76</v>
      </c>
    </row>
    <row r="19" spans="1:10" ht="14.4" x14ac:dyDescent="0.3">
      <c r="A19" s="17">
        <v>45535</v>
      </c>
      <c r="B19" s="18">
        <v>967723.78550490004</v>
      </c>
      <c r="C19" s="18">
        <v>22.327000000000002</v>
      </c>
      <c r="D19" s="18">
        <v>15.377000000000001</v>
      </c>
      <c r="E19" s="18">
        <v>1.778</v>
      </c>
      <c r="F19" s="19">
        <f t="shared" si="0"/>
        <v>43343.20712612084</v>
      </c>
      <c r="G19" s="20">
        <f t="shared" si="1"/>
        <v>1.9440238627099093E-2</v>
      </c>
      <c r="H19" s="20" cm="1">
        <f t="array" ref="H19">PRODUCT(G19:G54+1)^(1/3)-1</f>
        <v>0.14507260766195351</v>
      </c>
      <c r="I19" s="21">
        <f t="shared" si="2"/>
        <v>24794.129878061754</v>
      </c>
      <c r="J19" s="26">
        <v>83.87</v>
      </c>
    </row>
    <row r="20" spans="1:10" ht="14.4" x14ac:dyDescent="0.3">
      <c r="A20" s="17">
        <v>45504</v>
      </c>
      <c r="B20" s="18">
        <v>940893.97039379994</v>
      </c>
      <c r="C20" s="18">
        <v>22.13</v>
      </c>
      <c r="D20" s="18">
        <v>15.494</v>
      </c>
      <c r="E20" s="18">
        <v>1.7969999999999999</v>
      </c>
      <c r="F20" s="19">
        <f t="shared" si="0"/>
        <v>42516.672860090373</v>
      </c>
      <c r="G20" s="20">
        <f t="shared" si="1"/>
        <v>1.8910369407207028E-2</v>
      </c>
      <c r="H20" s="20" cm="1">
        <f t="array" ref="H20">PRODUCT(G20:G55+1)^(1/3)-1</f>
        <v>0.18714056938282719</v>
      </c>
      <c r="I20" s="21">
        <f t="shared" si="2"/>
        <v>24560.885121472238</v>
      </c>
      <c r="J20" s="26">
        <v>83.7</v>
      </c>
    </row>
    <row r="21" spans="1:10" ht="14.4" x14ac:dyDescent="0.3">
      <c r="A21" s="17">
        <v>45473</v>
      </c>
      <c r="B21" s="18">
        <v>920844.42836943991</v>
      </c>
      <c r="C21" s="18">
        <v>22.068000000000001</v>
      </c>
      <c r="D21" s="18">
        <v>15.5</v>
      </c>
      <c r="E21" s="18">
        <v>1.798</v>
      </c>
      <c r="F21" s="19">
        <f t="shared" si="0"/>
        <v>41727.588742497726</v>
      </c>
      <c r="G21" s="20">
        <f t="shared" si="1"/>
        <v>2.7960188428171051E-3</v>
      </c>
      <c r="H21" s="20" cm="1">
        <f t="array" ref="H21">PRODUCT(G21:G56+1)^(1/3)-1</f>
        <v>0.24906797652701185</v>
      </c>
      <c r="I21" s="21">
        <f t="shared" si="2"/>
        <v>24333.3054207604</v>
      </c>
      <c r="J21" s="26">
        <v>83.36</v>
      </c>
    </row>
    <row r="22" spans="1:10" ht="14.4" x14ac:dyDescent="0.3">
      <c r="A22" s="17">
        <v>45443</v>
      </c>
      <c r="B22" s="18">
        <v>903130.41640538001</v>
      </c>
      <c r="C22" s="18">
        <v>21.704000000000001</v>
      </c>
      <c r="D22" s="18">
        <v>15.294</v>
      </c>
      <c r="E22" s="18">
        <v>1.8460000000000001</v>
      </c>
      <c r="F22" s="19">
        <f t="shared" si="0"/>
        <v>41611.242923211386</v>
      </c>
      <c r="G22" s="20">
        <f t="shared" si="1"/>
        <v>2.2143781226017456E-2</v>
      </c>
      <c r="H22" s="20" cm="1">
        <f t="array" ref="H22">PRODUCT(G22:G57+1)^(1/3)-1</f>
        <v>0.26465217680871689</v>
      </c>
      <c r="I22" s="21">
        <f t="shared" si="2"/>
        <v>24112.08723692584</v>
      </c>
      <c r="J22" s="26">
        <v>83.42</v>
      </c>
    </row>
    <row r="23" spans="1:10" ht="14.4" x14ac:dyDescent="0.3">
      <c r="A23" s="17">
        <v>45412</v>
      </c>
      <c r="B23" s="18">
        <v>864838.45120144996</v>
      </c>
      <c r="C23" s="18">
        <v>21.244</v>
      </c>
      <c r="D23" s="18">
        <v>15.33</v>
      </c>
      <c r="E23" s="18">
        <v>1.885</v>
      </c>
      <c r="F23" s="19">
        <f t="shared" si="0"/>
        <v>40709.774581126432</v>
      </c>
      <c r="G23" s="20">
        <f t="shared" si="1"/>
        <v>-3.1358287820842934E-3</v>
      </c>
      <c r="H23" s="20" cm="1">
        <f t="array" ref="H23">PRODUCT(G23:G58+1)^(1/3)-1</f>
        <v>0.25264661685303169</v>
      </c>
      <c r="I23" s="21">
        <f t="shared" si="2"/>
        <v>23889.653079896565</v>
      </c>
      <c r="J23" s="26">
        <v>83.45</v>
      </c>
    </row>
    <row r="24" spans="1:10" ht="14.4" x14ac:dyDescent="0.3">
      <c r="A24" s="17">
        <v>45382</v>
      </c>
      <c r="B24" s="18">
        <v>897125.56015084998</v>
      </c>
      <c r="C24" s="18">
        <v>21.968</v>
      </c>
      <c r="D24" s="18">
        <v>15.305</v>
      </c>
      <c r="E24" s="18">
        <v>1.8180000000000001</v>
      </c>
      <c r="F24" s="19">
        <f t="shared" si="0"/>
        <v>40837.835039641752</v>
      </c>
      <c r="G24" s="20">
        <f t="shared" si="1"/>
        <v>2.3802093586024808E-2</v>
      </c>
      <c r="H24" s="20" cm="1">
        <f t="array" ref="H24">PRODUCT(G24:G59+1)^(1/3)-1</f>
        <v>0.2637335658530211</v>
      </c>
      <c r="I24" s="21">
        <f t="shared" si="2"/>
        <v>23676.573778417012</v>
      </c>
      <c r="J24" s="26">
        <v>83.35</v>
      </c>
    </row>
    <row r="25" spans="1:10" ht="14.4" x14ac:dyDescent="0.3">
      <c r="A25" s="17">
        <v>45351</v>
      </c>
      <c r="B25" s="18">
        <v>864501.45429380005</v>
      </c>
      <c r="C25" s="18">
        <v>21.672999999999998</v>
      </c>
      <c r="D25" s="18">
        <v>15.079000000000001</v>
      </c>
      <c r="E25" s="18">
        <v>1.859</v>
      </c>
      <c r="F25" s="19">
        <f t="shared" si="0"/>
        <v>39888.407432925764</v>
      </c>
      <c r="G25" s="20">
        <f t="shared" si="1"/>
        <v>1.7913658538740496E-2</v>
      </c>
      <c r="H25" s="20" cm="1">
        <f t="array" ref="H25">PRODUCT(G25:G60+1)^(1/3)-1</f>
        <v>0.17512530030407358</v>
      </c>
      <c r="I25" s="21">
        <f t="shared" si="2"/>
        <v>23461.450053381428</v>
      </c>
      <c r="J25" s="26">
        <v>82.9</v>
      </c>
    </row>
    <row r="26" spans="1:10" ht="14.4" x14ac:dyDescent="0.3">
      <c r="A26" s="17">
        <v>45322</v>
      </c>
      <c r="B26" s="18">
        <v>831340.21887899993</v>
      </c>
      <c r="C26" s="18">
        <v>21.215</v>
      </c>
      <c r="D26" s="18">
        <v>14.817</v>
      </c>
      <c r="E26" s="18">
        <v>1.9</v>
      </c>
      <c r="F26" s="19">
        <f t="shared" si="0"/>
        <v>39186.435016686301</v>
      </c>
      <c r="G26" s="20">
        <f t="shared" si="1"/>
        <v>-1.4206182219372421E-2</v>
      </c>
      <c r="H26" s="20" cm="1">
        <f t="array" ref="H26">PRODUCT(G26:G61+1)^(1/3)-1</f>
        <v>0.18366236098144983</v>
      </c>
      <c r="I26" s="21">
        <f t="shared" si="2"/>
        <v>23254.807764097626</v>
      </c>
      <c r="J26" s="26">
        <v>83.1</v>
      </c>
    </row>
    <row r="27" spans="1:10" ht="14.4" x14ac:dyDescent="0.3">
      <c r="A27" s="17">
        <v>45291</v>
      </c>
      <c r="B27" s="18">
        <v>822371.7302775901</v>
      </c>
      <c r="C27" s="18">
        <v>20.687999999999999</v>
      </c>
      <c r="D27" s="18">
        <v>14.914</v>
      </c>
      <c r="E27" s="18">
        <v>1.929</v>
      </c>
      <c r="F27" s="19">
        <f t="shared" si="0"/>
        <v>39751.147055181274</v>
      </c>
      <c r="G27" s="20">
        <f t="shared" si="1"/>
        <v>1.3503643236098428E-2</v>
      </c>
      <c r="H27" s="20" cm="1">
        <f t="array" ref="H27">PRODUCT(G27:G62+1)^(1/3)-1</f>
        <v>0.18450174888374327</v>
      </c>
      <c r="I27" s="21">
        <f t="shared" si="2"/>
        <v>23053.769668403434</v>
      </c>
      <c r="J27" s="26">
        <v>83.19</v>
      </c>
    </row>
    <row r="28" spans="1:10" ht="14.4" x14ac:dyDescent="0.3">
      <c r="A28" s="17">
        <v>45260</v>
      </c>
      <c r="B28" s="18">
        <v>785489.25540335989</v>
      </c>
      <c r="C28" s="18">
        <v>20.027000000000001</v>
      </c>
      <c r="D28" s="18">
        <v>14.875999999999999</v>
      </c>
      <c r="E28" s="18">
        <v>1.992</v>
      </c>
      <c r="F28" s="19">
        <f t="shared" si="0"/>
        <v>39221.513726637029</v>
      </c>
      <c r="G28" s="20">
        <f t="shared" si="1"/>
        <v>2.4201140549248157E-2</v>
      </c>
      <c r="H28" s="20" cm="1">
        <f t="array" ref="H28">PRODUCT(G28:G63+1)^(1/3)-1</f>
        <v>0.19051313595050301</v>
      </c>
      <c r="I28" s="21">
        <f t="shared" si="2"/>
        <v>22846.777561661071</v>
      </c>
      <c r="J28" s="26">
        <v>83.36</v>
      </c>
    </row>
    <row r="29" spans="1:10" ht="14.4" x14ac:dyDescent="0.3">
      <c r="A29" s="17">
        <v>45230</v>
      </c>
      <c r="B29" s="18">
        <v>717298.72632212006</v>
      </c>
      <c r="C29" s="18">
        <v>18.731000000000002</v>
      </c>
      <c r="D29" s="18">
        <v>14.994999999999999</v>
      </c>
      <c r="E29" s="18">
        <v>2.1230000000000002</v>
      </c>
      <c r="F29" s="19">
        <f t="shared" si="0"/>
        <v>38294.737404416206</v>
      </c>
      <c r="G29" s="20">
        <f t="shared" si="1"/>
        <v>1.1256817874094383E-2</v>
      </c>
      <c r="H29" s="20" cm="1">
        <f t="array" ref="H29">PRODUCT(G29:G64+1)^(1/3)-1</f>
        <v>0.22630780579568599</v>
      </c>
      <c r="I29" s="21">
        <f t="shared" si="2"/>
        <v>22645.441780265071</v>
      </c>
      <c r="J29" s="26">
        <v>83.26</v>
      </c>
    </row>
    <row r="30" spans="1:10" ht="14.4" x14ac:dyDescent="0.3">
      <c r="A30" s="17">
        <v>45199</v>
      </c>
      <c r="B30" s="18">
        <v>736693.00250716996</v>
      </c>
      <c r="C30" s="18">
        <v>19.454000000000001</v>
      </c>
      <c r="D30" s="18">
        <v>14.846</v>
      </c>
      <c r="E30" s="18">
        <v>2.0579999999999998</v>
      </c>
      <c r="F30" s="19">
        <f t="shared" si="0"/>
        <v>37868.459057631844</v>
      </c>
      <c r="G30" s="20">
        <f t="shared" si="1"/>
        <v>-1.3947216861311951E-3</v>
      </c>
      <c r="H30" s="20" cm="1">
        <f t="array" ref="H30">PRODUCT(G30:G65+1)^(1/3)-1</f>
        <v>0.1645850049403863</v>
      </c>
      <c r="I30" s="21">
        <f t="shared" si="2"/>
        <v>22457.639470360191</v>
      </c>
      <c r="J30" s="26">
        <v>83.03</v>
      </c>
    </row>
    <row r="31" spans="1:10" ht="14.4" x14ac:dyDescent="0.3">
      <c r="A31" s="17">
        <v>45169</v>
      </c>
      <c r="B31" s="18">
        <v>766845.51513329998</v>
      </c>
      <c r="C31" s="18">
        <v>20.222000000000001</v>
      </c>
      <c r="D31" s="18">
        <v>14.759</v>
      </c>
      <c r="E31" s="18">
        <v>1.982</v>
      </c>
      <c r="F31" s="19">
        <f t="shared" si="0"/>
        <v>37921.348785149836</v>
      </c>
      <c r="G31" s="20">
        <f t="shared" si="1"/>
        <v>7.1060518092274094E-3</v>
      </c>
      <c r="H31" s="20" cm="1">
        <f t="array" ref="H31">PRODUCT(G31:G66+1)^(1/3)-1</f>
        <v>0.15319343579725131</v>
      </c>
      <c r="I31" s="21">
        <f t="shared" si="2"/>
        <v>22270.432100276834</v>
      </c>
      <c r="J31" s="26">
        <v>82.7</v>
      </c>
    </row>
    <row r="32" spans="1:10" ht="14.4" x14ac:dyDescent="0.3">
      <c r="A32" s="17">
        <v>45138</v>
      </c>
      <c r="B32" s="18">
        <v>781240.60835583997</v>
      </c>
      <c r="C32" s="18">
        <v>20.748000000000001</v>
      </c>
      <c r="D32" s="18">
        <v>14.792999999999999</v>
      </c>
      <c r="E32" s="18">
        <v>1.962</v>
      </c>
      <c r="F32" s="19">
        <f t="shared" si="0"/>
        <v>37653.779080192784</v>
      </c>
      <c r="G32" s="20">
        <f t="shared" si="1"/>
        <v>1.1875143755825546E-2</v>
      </c>
      <c r="H32" s="20" cm="1">
        <f t="array" ref="H32">PRODUCT(G32:G67+1)^(1/3)-1</f>
        <v>0.16674692589700491</v>
      </c>
      <c r="I32" s="21">
        <f t="shared" si="2"/>
        <v>22082.763858828741</v>
      </c>
      <c r="J32" s="26">
        <v>82.24</v>
      </c>
    </row>
    <row r="33" spans="1:10" ht="14.4" x14ac:dyDescent="0.3">
      <c r="A33" s="17">
        <v>45107</v>
      </c>
      <c r="B33" s="18">
        <v>754470.92021378002</v>
      </c>
      <c r="C33" s="18">
        <v>20.274999999999999</v>
      </c>
      <c r="D33" s="18">
        <v>14.782999999999999</v>
      </c>
      <c r="E33" s="18">
        <v>2.0009999999999999</v>
      </c>
      <c r="F33" s="19">
        <f t="shared" si="0"/>
        <v>37211.882624600745</v>
      </c>
      <c r="G33" s="20">
        <f t="shared" si="1"/>
        <v>-5.2010231901704618E-3</v>
      </c>
      <c r="H33" s="20" cm="1">
        <f t="array" ref="H33">PRODUCT(G33:G68+1)^(1/3)-1</f>
        <v>0.15962219319406024</v>
      </c>
      <c r="I33" s="21">
        <f t="shared" si="2"/>
        <v>21885.647884926278</v>
      </c>
      <c r="J33" s="26">
        <v>82.09</v>
      </c>
    </row>
    <row r="34" spans="1:10" ht="14.4" x14ac:dyDescent="0.3">
      <c r="A34" s="17">
        <v>45077</v>
      </c>
      <c r="B34" s="18">
        <v>716557.65654563997</v>
      </c>
      <c r="C34" s="18">
        <v>19.155999999999999</v>
      </c>
      <c r="D34" s="18">
        <v>14.73</v>
      </c>
      <c r="E34" s="18">
        <v>2.109</v>
      </c>
      <c r="F34" s="19">
        <f t="shared" si="0"/>
        <v>37406.434357153892</v>
      </c>
      <c r="G34" s="20">
        <f t="shared" si="1"/>
        <v>1.398692016546832E-2</v>
      </c>
      <c r="H34" s="20" cm="1">
        <f t="array" ref="H34">PRODUCT(G34:G69+1)^(1/3)-1</f>
        <v>0.14519813269629189</v>
      </c>
      <c r="I34" s="21">
        <f t="shared" si="2"/>
        <v>21688.658235003575</v>
      </c>
      <c r="J34" s="26">
        <v>82.68</v>
      </c>
    </row>
    <row r="35" spans="1:10" ht="14.4" x14ac:dyDescent="0.3">
      <c r="A35" s="17">
        <v>45046</v>
      </c>
      <c r="B35" s="18">
        <v>715379.61745656002</v>
      </c>
      <c r="C35" s="18">
        <v>19.391999999999999</v>
      </c>
      <c r="D35" s="18">
        <v>14.715999999999999</v>
      </c>
      <c r="E35" s="18">
        <v>2.0819999999999999</v>
      </c>
      <c r="F35" s="19">
        <f t="shared" si="0"/>
        <v>36890.450570160894</v>
      </c>
      <c r="G35" s="20">
        <f t="shared" si="1"/>
        <v>-1.1239198901694669E-3</v>
      </c>
      <c r="H35" s="20" cm="1">
        <f t="array" ref="H35">PRODUCT(G35:G70+1)^(1/3)-1</f>
        <v>0.12449594827090205</v>
      </c>
      <c r="I35" s="21">
        <f t="shared" si="2"/>
        <v>21485.272437154661</v>
      </c>
      <c r="J35" s="26">
        <v>81.72</v>
      </c>
    </row>
    <row r="36" spans="1:10" ht="14.4" x14ac:dyDescent="0.3">
      <c r="A36" s="17">
        <v>45016</v>
      </c>
      <c r="B36" s="18">
        <v>706840.76585823996</v>
      </c>
      <c r="C36" s="18">
        <v>19.138999999999999</v>
      </c>
      <c r="D36" s="18">
        <v>14.731</v>
      </c>
      <c r="E36" s="18">
        <v>2.1080000000000001</v>
      </c>
      <c r="F36" s="19">
        <f t="shared" si="0"/>
        <v>36931.959133614087</v>
      </c>
      <c r="G36" s="20">
        <f t="shared" si="1"/>
        <v>-2.3926589247779129E-2</v>
      </c>
      <c r="H36" s="20" cm="1">
        <f t="array" ref="H36">PRODUCT(G36:G71+1)^(1/3)-1</f>
        <v>0.12204591945472809</v>
      </c>
      <c r="I36" s="21">
        <f t="shared" si="2"/>
        <v>21281.132389420465</v>
      </c>
      <c r="J36" s="26">
        <v>82.16</v>
      </c>
    </row>
    <row r="37" spans="1:10" ht="14.4" x14ac:dyDescent="0.3">
      <c r="A37" s="17">
        <v>44985</v>
      </c>
      <c r="B37" s="18">
        <v>689660.0314207999</v>
      </c>
      <c r="C37" s="18">
        <v>18.227</v>
      </c>
      <c r="D37" s="18">
        <v>15.183</v>
      </c>
      <c r="E37" s="18">
        <v>2.1459999999999999</v>
      </c>
      <c r="F37" s="19">
        <f t="shared" si="0"/>
        <v>37837.276097042843</v>
      </c>
      <c r="G37" s="20">
        <f t="shared" si="1"/>
        <v>-1.5620440932097357E-2</v>
      </c>
      <c r="H37" s="20" cm="1">
        <f t="array" ref="H37">PRODUCT(G37:G72+1)^(1/3)-1</f>
        <v>0.18355727919070675</v>
      </c>
      <c r="I37" s="21">
        <f t="shared" si="2"/>
        <v>21082.20361066192</v>
      </c>
      <c r="J37" s="26">
        <v>82.64</v>
      </c>
    </row>
    <row r="38" spans="1:10" ht="14.4" x14ac:dyDescent="0.3">
      <c r="A38" s="17">
        <v>44957</v>
      </c>
      <c r="B38" s="18">
        <v>698950.9505867</v>
      </c>
      <c r="C38" s="18">
        <v>18.184000000000001</v>
      </c>
      <c r="D38" s="18">
        <v>15.455</v>
      </c>
      <c r="E38" s="18">
        <v>2.09</v>
      </c>
      <c r="F38" s="19">
        <f t="shared" si="0"/>
        <v>38437.689759497356</v>
      </c>
      <c r="G38" s="20">
        <f t="shared" si="1"/>
        <v>-7.738779425006781E-3</v>
      </c>
      <c r="H38" s="20" cm="1">
        <f t="array" ref="H38">PRODUCT(G38:G73+1)^(1/3)-1</f>
        <v>0.16057565490717596</v>
      </c>
      <c r="I38" s="21">
        <f t="shared" si="2"/>
        <v>20873.396228892754</v>
      </c>
      <c r="J38" s="26">
        <v>81.739999999999995</v>
      </c>
    </row>
    <row r="39" spans="1:10" ht="14.4" x14ac:dyDescent="0.3">
      <c r="A39" s="17">
        <v>44926</v>
      </c>
      <c r="B39" s="18">
        <v>660590.08442239999</v>
      </c>
      <c r="C39" s="18">
        <v>17.053000000000001</v>
      </c>
      <c r="D39" s="18">
        <v>15.637</v>
      </c>
      <c r="E39" s="18">
        <v>2.2109999999999999</v>
      </c>
      <c r="F39" s="19">
        <f t="shared" si="0"/>
        <v>38737.470499173163</v>
      </c>
      <c r="G39" s="20">
        <f t="shared" si="1"/>
        <v>2.6345975167921809E-2</v>
      </c>
      <c r="H39" s="20" cm="1">
        <f t="array" ref="H39">PRODUCT(G39:G74+1)^(1/3)-1</f>
        <v>0.13981210492991547</v>
      </c>
      <c r="I39" s="21">
        <f t="shared" si="2"/>
        <v>20656.06084224525</v>
      </c>
      <c r="J39" s="26">
        <v>82.72</v>
      </c>
    </row>
    <row r="40" spans="1:10" ht="14.4" x14ac:dyDescent="0.3">
      <c r="A40" s="17">
        <v>44895</v>
      </c>
      <c r="B40" s="18">
        <v>678545.30683008011</v>
      </c>
      <c r="C40" s="18">
        <v>17.978000000000002</v>
      </c>
      <c r="D40" s="18">
        <v>15.815</v>
      </c>
      <c r="E40" s="18">
        <v>2.0790000000000002</v>
      </c>
      <c r="F40" s="19">
        <f t="shared" si="0"/>
        <v>37743.091936259872</v>
      </c>
      <c r="G40" s="20">
        <f t="shared" si="1"/>
        <v>1.6750529173633399E-2</v>
      </c>
      <c r="H40" s="20" cm="1">
        <f t="array" ref="H40">PRODUCT(G40:G75+1)^(1/3)-1</f>
        <v>0.13902319192922952</v>
      </c>
      <c r="I40" s="21">
        <f t="shared" si="2"/>
        <v>20439.235996280717</v>
      </c>
      <c r="J40" s="26">
        <v>81.36</v>
      </c>
    </row>
    <row r="41" spans="1:10" ht="14.4" x14ac:dyDescent="0.3">
      <c r="A41" s="17">
        <v>44865</v>
      </c>
      <c r="B41" s="18">
        <v>645427.88094647997</v>
      </c>
      <c r="C41" s="18">
        <v>17.387</v>
      </c>
      <c r="D41" s="18">
        <v>15.795999999999999</v>
      </c>
      <c r="E41" s="18">
        <v>2.1709999999999998</v>
      </c>
      <c r="F41" s="19">
        <f t="shared" si="0"/>
        <v>37121.29067386438</v>
      </c>
      <c r="G41" s="20">
        <f t="shared" si="1"/>
        <v>1.7896563084338624E-2</v>
      </c>
      <c r="H41" s="20" cm="1">
        <f t="array" ref="H41">PRODUCT(G41:G76+1)^(1/3)-1</f>
        <v>0.1472718497146166</v>
      </c>
      <c r="I41" s="21">
        <f t="shared" si="2"/>
        <v>20228.540240079623</v>
      </c>
      <c r="J41" s="26">
        <v>82.77</v>
      </c>
    </row>
    <row r="42" spans="1:10" ht="14.4" x14ac:dyDescent="0.3">
      <c r="A42" s="17">
        <v>44834</v>
      </c>
      <c r="B42" s="18">
        <v>593016.35307486006</v>
      </c>
      <c r="C42" s="18">
        <v>16.260999999999999</v>
      </c>
      <c r="D42" s="18">
        <v>15.79</v>
      </c>
      <c r="E42" s="18">
        <v>2.3159999999999998</v>
      </c>
      <c r="F42" s="19">
        <f t="shared" si="0"/>
        <v>36468.627579783533</v>
      </c>
      <c r="G42" s="20">
        <f t="shared" si="1"/>
        <v>2.6696512631159131E-2</v>
      </c>
      <c r="H42" s="20" cm="1">
        <f t="array" ref="H42">PRODUCT(G42:G77+1)^(1/3)-1</f>
        <v>0.14435547904817314</v>
      </c>
      <c r="I42" s="21">
        <f t="shared" si="2"/>
        <v>20021.33360859918</v>
      </c>
      <c r="J42" s="26">
        <v>81.510000000000005</v>
      </c>
    </row>
    <row r="43" spans="1:10" ht="14.4" x14ac:dyDescent="0.3">
      <c r="A43" s="17">
        <v>44804</v>
      </c>
      <c r="B43" s="18">
        <v>637590.42424281</v>
      </c>
      <c r="C43" s="18">
        <v>17.95</v>
      </c>
      <c r="D43" s="18">
        <v>15.567</v>
      </c>
      <c r="E43" s="18">
        <v>2.121</v>
      </c>
      <c r="F43" s="19">
        <f t="shared" si="0"/>
        <v>35520.357896535381</v>
      </c>
      <c r="G43" s="20">
        <f t="shared" si="1"/>
        <v>-9.1905584929998785E-3</v>
      </c>
      <c r="H43" s="20" cm="1">
        <f t="array" ref="H43">PRODUCT(G43:G78+1)^(1/3)-1</f>
        <v>0.13800671056864355</v>
      </c>
      <c r="I43" s="21">
        <f t="shared" si="2"/>
        <v>19817.530041232123</v>
      </c>
      <c r="J43" s="26">
        <v>79.489999999999995</v>
      </c>
    </row>
    <row r="44" spans="1:10" ht="14.4" x14ac:dyDescent="0.3">
      <c r="A44" s="17">
        <v>44773</v>
      </c>
      <c r="B44" s="18">
        <v>664154.09747240006</v>
      </c>
      <c r="C44" s="18">
        <v>18.526</v>
      </c>
      <c r="D44" s="18">
        <v>15.662000000000001</v>
      </c>
      <c r="E44" s="18">
        <v>2.0539999999999998</v>
      </c>
      <c r="F44" s="19">
        <f t="shared" si="0"/>
        <v>35849.837928986293</v>
      </c>
      <c r="G44" s="20">
        <f t="shared" si="1"/>
        <v>-6.1438511699399845E-3</v>
      </c>
      <c r="H44" s="20" cm="1">
        <f t="array" ref="H44">PRODUCT(G44:G79+1)^(1/3)-1</f>
        <v>0.14771673713982891</v>
      </c>
      <c r="I44" s="21">
        <f t="shared" si="2"/>
        <v>19625.75463539434</v>
      </c>
      <c r="J44" s="26">
        <v>79.34</v>
      </c>
    </row>
    <row r="45" spans="1:10" ht="14.4" x14ac:dyDescent="0.3">
      <c r="A45" s="17">
        <v>44742</v>
      </c>
      <c r="B45" s="18">
        <v>612276.88707559998</v>
      </c>
      <c r="C45" s="18">
        <v>16.974</v>
      </c>
      <c r="D45" s="18">
        <v>15.897</v>
      </c>
      <c r="E45" s="18">
        <v>2.2050000000000001</v>
      </c>
      <c r="F45" s="19">
        <f t="shared" si="0"/>
        <v>36071.455583574876</v>
      </c>
      <c r="G45" s="20">
        <f t="shared" si="1"/>
        <v>1.2709984382937245E-2</v>
      </c>
      <c r="H45" s="20" cm="1">
        <f t="array" ref="H45">PRODUCT(G45:G80+1)^(1/3)-1</f>
        <v>0.14754508104943831</v>
      </c>
      <c r="I45" s="21">
        <f t="shared" si="2"/>
        <v>19432.252537398253</v>
      </c>
      <c r="J45" s="26">
        <v>78.95</v>
      </c>
    </row>
    <row r="46" spans="1:10" ht="14.4" x14ac:dyDescent="0.3">
      <c r="A46" s="17">
        <v>44712</v>
      </c>
      <c r="B46" s="18">
        <v>658626.15702588996</v>
      </c>
      <c r="C46" s="18">
        <v>18.491</v>
      </c>
      <c r="D46" s="18">
        <v>15.706</v>
      </c>
      <c r="E46" s="18">
        <v>2.0209999999999999</v>
      </c>
      <c r="F46" s="19">
        <f t="shared" si="0"/>
        <v>35618.741929905897</v>
      </c>
      <c r="G46" s="20">
        <f t="shared" si="1"/>
        <v>3.7916565164990645E-2</v>
      </c>
      <c r="H46" s="20" cm="1">
        <f t="array" ref="H46">PRODUCT(G46:G81+1)^(1/3)-1</f>
        <v>0.14510947148677089</v>
      </c>
      <c r="I46" s="21">
        <f t="shared" si="2"/>
        <v>19236.963550416658</v>
      </c>
      <c r="J46" s="26">
        <v>77.569999999999993</v>
      </c>
    </row>
    <row r="47" spans="1:10" ht="14.4" x14ac:dyDescent="0.3">
      <c r="A47" s="17">
        <v>44681</v>
      </c>
      <c r="B47" s="18">
        <v>649219.19780983997</v>
      </c>
      <c r="C47" s="18">
        <v>18.917999999999999</v>
      </c>
      <c r="D47" s="18">
        <v>15.672000000000001</v>
      </c>
      <c r="E47" s="18">
        <v>1.974</v>
      </c>
      <c r="F47" s="19">
        <f t="shared" si="0"/>
        <v>34317.538736115872</v>
      </c>
      <c r="G47" s="20">
        <f t="shared" si="1"/>
        <v>-1.8900592387702919E-2</v>
      </c>
      <c r="H47" s="20" cm="1">
        <f t="array" ref="H47">PRODUCT(G47:G82+1)^(1/3)-1</f>
        <v>0.11649954805193019</v>
      </c>
      <c r="I47" s="21">
        <f t="shared" si="2"/>
        <v>19044.184628342377</v>
      </c>
      <c r="J47" s="26">
        <v>76.52</v>
      </c>
    </row>
    <row r="48" spans="1:10" ht="14.4" x14ac:dyDescent="0.3">
      <c r="A48" s="17">
        <v>44651</v>
      </c>
      <c r="B48" s="18">
        <v>702301.4563026001</v>
      </c>
      <c r="C48" s="18">
        <v>20.077999999999999</v>
      </c>
      <c r="D48" s="18">
        <v>15.742000000000001</v>
      </c>
      <c r="E48" s="18">
        <v>1.839</v>
      </c>
      <c r="F48" s="19">
        <f t="shared" si="0"/>
        <v>34978.656056509615</v>
      </c>
      <c r="G48" s="20">
        <f t="shared" si="1"/>
        <v>3.6110625117776296E-2</v>
      </c>
      <c r="H48" s="20" cm="1">
        <f t="array" ref="H48">PRODUCT(G48:G83+1)^(1/3)-1</f>
        <v>0.13926466594960663</v>
      </c>
      <c r="I48" s="21">
        <f t="shared" si="2"/>
        <v>18855.955506715447</v>
      </c>
      <c r="J48" s="26">
        <v>75.900000000000006</v>
      </c>
    </row>
    <row r="49" spans="1:10" ht="14.4" x14ac:dyDescent="0.3">
      <c r="A49" s="17">
        <v>44620</v>
      </c>
      <c r="B49" s="18">
        <v>679850.35438268993</v>
      </c>
      <c r="C49" s="18">
        <v>20.138000000000002</v>
      </c>
      <c r="D49" s="18">
        <v>15.226000000000001</v>
      </c>
      <c r="E49" s="18">
        <v>1.8680000000000001</v>
      </c>
      <c r="F49" s="19">
        <f t="shared" si="0"/>
        <v>33759.576640316314</v>
      </c>
      <c r="G49" s="20">
        <f t="shared" si="1"/>
        <v>0.17007764074143594</v>
      </c>
      <c r="H49" s="20" cm="1">
        <f t="array" ref="H49">PRODUCT(G49:G84+1)^(1/3)-1</f>
        <v>0.1180733408453456</v>
      </c>
      <c r="I49" s="21">
        <f t="shared" si="2"/>
        <v>18658.61435473217</v>
      </c>
      <c r="J49" s="26">
        <v>75.489999999999995</v>
      </c>
    </row>
    <row r="50" spans="1:10" ht="14.4" x14ac:dyDescent="0.3">
      <c r="A50" s="17">
        <v>44592</v>
      </c>
      <c r="B50" s="18">
        <v>688620.81251622003</v>
      </c>
      <c r="C50" s="18">
        <v>23.867000000000001</v>
      </c>
      <c r="D50" s="18">
        <v>13.888</v>
      </c>
      <c r="E50" s="18">
        <v>1.66</v>
      </c>
      <c r="F50" s="19">
        <f t="shared" si="0"/>
        <v>28852.42437324423</v>
      </c>
      <c r="G50" s="20">
        <f t="shared" si="1"/>
        <v>-5.2147843229649049E-2</v>
      </c>
      <c r="H50" s="20" cm="1">
        <f t="array" ref="H50">PRODUCT(G50:G85+1)^(1/3)-1</f>
        <v>6.0738960373705631E-2</v>
      </c>
      <c r="I50" s="21">
        <f t="shared" si="2"/>
        <v>18468.862141533195</v>
      </c>
      <c r="J50" s="26">
        <v>74.53</v>
      </c>
    </row>
    <row r="51" spans="1:10" ht="14.4" x14ac:dyDescent="0.3">
      <c r="A51" s="17">
        <v>44561</v>
      </c>
      <c r="B51" s="18">
        <v>726506.56286164001</v>
      </c>
      <c r="C51" s="18">
        <v>23.867000000000001</v>
      </c>
      <c r="D51" s="18">
        <v>13.888</v>
      </c>
      <c r="E51" s="18">
        <v>1.66</v>
      </c>
      <c r="F51" s="19">
        <f t="shared" si="0"/>
        <v>30439.79397752713</v>
      </c>
      <c r="G51" s="20">
        <f t="shared" si="1"/>
        <v>3.4130533611102187E-2</v>
      </c>
      <c r="H51" s="20" cm="1">
        <f t="array" ref="H51">PRODUCT(G51:G86+1)^(1/3)-1</f>
        <v>9.1553937254127193E-2</v>
      </c>
      <c r="I51" s="21">
        <f t="shared" si="2"/>
        <v>18321.420460585086</v>
      </c>
      <c r="J51" s="26">
        <v>74.47</v>
      </c>
    </row>
    <row r="52" spans="1:10" ht="14.4" x14ac:dyDescent="0.3">
      <c r="A52" s="17">
        <v>44530</v>
      </c>
      <c r="B52" s="18">
        <v>702528.87739881012</v>
      </c>
      <c r="C52" s="18">
        <v>23.867000000000001</v>
      </c>
      <c r="D52" s="18">
        <v>13.888</v>
      </c>
      <c r="E52" s="18">
        <v>1.66</v>
      </c>
      <c r="F52" s="19">
        <f t="shared" si="0"/>
        <v>29435.156383240879</v>
      </c>
      <c r="G52" s="20">
        <f t="shared" si="1"/>
        <v>-1.9693597161697274E-2</v>
      </c>
      <c r="H52" s="20" cm="1">
        <f t="array" ref="H52">PRODUCT(G52:G87+1)^(1/3)-1</f>
        <v>8.1414784950411656E-2</v>
      </c>
      <c r="I52" s="21">
        <f t="shared" si="2"/>
        <v>18166.731583384033</v>
      </c>
      <c r="J52" s="26">
        <v>75.09</v>
      </c>
    </row>
    <row r="53" spans="1:10" ht="14.4" x14ac:dyDescent="0.3">
      <c r="A53" s="17">
        <v>44500</v>
      </c>
      <c r="B53" s="18">
        <v>716642.13899323996</v>
      </c>
      <c r="C53" s="18">
        <v>23.867000000000001</v>
      </c>
      <c r="D53" s="18">
        <v>13.888</v>
      </c>
      <c r="E53" s="18">
        <v>1.66</v>
      </c>
      <c r="F53" s="19">
        <f t="shared" si="0"/>
        <v>30026.485900751664</v>
      </c>
      <c r="G53" s="20">
        <f t="shared" si="1"/>
        <v>6.7469079491688566E-2</v>
      </c>
      <c r="H53" s="20" cm="1">
        <f t="array" ref="H53">PRODUCT(G53:G88+1)^(1/3)-1</f>
        <v>7.8765721311328418E-2</v>
      </c>
      <c r="I53" s="21">
        <f t="shared" si="2"/>
        <v>18020.292759534575</v>
      </c>
      <c r="J53" s="26">
        <v>74.92</v>
      </c>
    </row>
    <row r="54" spans="1:10" ht="14.4" x14ac:dyDescent="0.3">
      <c r="A54" s="17">
        <v>44469</v>
      </c>
      <c r="B54" s="18">
        <v>671346.97647119989</v>
      </c>
      <c r="C54" s="18">
        <v>23.867000000000001</v>
      </c>
      <c r="D54" s="18">
        <v>13.888</v>
      </c>
      <c r="E54" s="18">
        <v>1.66</v>
      </c>
      <c r="F54" s="19">
        <f t="shared" si="0"/>
        <v>28128.670401441315</v>
      </c>
      <c r="G54" s="20">
        <f t="shared" si="1"/>
        <v>-2.5622520060243237E-2</v>
      </c>
      <c r="H54" s="20" cm="1">
        <f t="array" ref="H54">PRODUCT(G54:G89+1)^(1/3)-1</f>
        <v>6.3025435803728769E-2</v>
      </c>
      <c r="I54" s="21">
        <f t="shared" si="2"/>
        <v>17862.643282379428</v>
      </c>
      <c r="J54" s="26">
        <v>74.16</v>
      </c>
    </row>
    <row r="55" spans="1:10" ht="14.4" x14ac:dyDescent="0.3">
      <c r="A55" s="17">
        <v>44439</v>
      </c>
      <c r="B55" s="18">
        <v>689000.9162698501</v>
      </c>
      <c r="C55" s="18">
        <v>23.867000000000001</v>
      </c>
      <c r="D55" s="18">
        <v>13.888</v>
      </c>
      <c r="E55" s="18">
        <v>1.66</v>
      </c>
      <c r="F55" s="19">
        <f t="shared" si="0"/>
        <v>28868.350285743916</v>
      </c>
      <c r="G55" s="20">
        <f t="shared" si="1"/>
        <v>0.13597594589133144</v>
      </c>
      <c r="H55" s="20" cm="1">
        <f t="array" ref="H55">PRODUCT(G55:G90+1)^(1/3)-1</f>
        <v>8.3603216806714009E-2</v>
      </c>
      <c r="I55" s="21">
        <f t="shared" si="2"/>
        <v>17719.959737247809</v>
      </c>
      <c r="J55" s="26">
        <v>72.95</v>
      </c>
    </row>
    <row r="56" spans="1:10" ht="14.4" x14ac:dyDescent="0.3">
      <c r="A56" s="17">
        <v>44408</v>
      </c>
      <c r="B56" s="18">
        <v>685078.75524815999</v>
      </c>
      <c r="C56" s="18">
        <v>26.957999999999998</v>
      </c>
      <c r="D56" s="18">
        <v>12.18</v>
      </c>
      <c r="E56" s="18">
        <v>1.6539999999999999</v>
      </c>
      <c r="F56" s="19">
        <f t="shared" si="0"/>
        <v>25412.818282074339</v>
      </c>
      <c r="G56" s="20">
        <f t="shared" si="1"/>
        <v>0.18682794561983895</v>
      </c>
      <c r="H56" s="20" cm="1">
        <f t="array" ref="H56">PRODUCT(G56:G91+1)^(1/3)-1</f>
        <v>6.3082340628464628E-2</v>
      </c>
      <c r="I56" s="21">
        <f t="shared" si="2"/>
        <v>17566.693898662819</v>
      </c>
      <c r="J56" s="26">
        <v>74.34</v>
      </c>
    </row>
    <row r="57" spans="1:10" ht="14.4" x14ac:dyDescent="0.3">
      <c r="A57" s="17">
        <v>44377</v>
      </c>
      <c r="B57" s="18">
        <v>673205.42100239999</v>
      </c>
      <c r="C57" s="18">
        <v>31.44</v>
      </c>
      <c r="D57" s="18">
        <v>10.176</v>
      </c>
      <c r="E57" s="18">
        <v>1.675</v>
      </c>
      <c r="F57" s="19">
        <f t="shared" si="0"/>
        <v>21412.386164198473</v>
      </c>
      <c r="G57" s="20">
        <f t="shared" si="1"/>
        <v>4.0800917721333763E-2</v>
      </c>
      <c r="H57" s="20" cm="1">
        <f t="array" ref="H57">PRODUCT(G57:G92+1)^(1/3)-1</f>
        <v>5.5918913908552526E-3</v>
      </c>
      <c r="I57" s="21">
        <f t="shared" si="2"/>
        <v>17437.360818959361</v>
      </c>
      <c r="J57" s="26">
        <v>74.36</v>
      </c>
    </row>
    <row r="58" spans="1:10" ht="14.4" x14ac:dyDescent="0.3">
      <c r="A58" s="17">
        <v>44347</v>
      </c>
      <c r="B58" s="18">
        <v>646814.78421087004</v>
      </c>
      <c r="C58" s="18">
        <v>31.44</v>
      </c>
      <c r="D58" s="18">
        <v>10.176</v>
      </c>
      <c r="E58" s="18">
        <v>1.675</v>
      </c>
      <c r="F58" s="19">
        <f t="shared" si="0"/>
        <v>20572.989319684162</v>
      </c>
      <c r="G58" s="20">
        <f t="shared" si="1"/>
        <v>-6.6909040453952962E-3</v>
      </c>
      <c r="H58" s="20" cm="1">
        <f t="array" ref="H58">PRODUCT(G58:G93+1)^(1/3)-1</f>
        <v>-4.0240014750017039E-3</v>
      </c>
      <c r="I58" s="21">
        <f t="shared" si="2"/>
        <v>17343.513040288777</v>
      </c>
      <c r="J58" s="26">
        <v>72.510000000000005</v>
      </c>
    </row>
    <row r="59" spans="1:10" ht="14.4" x14ac:dyDescent="0.3">
      <c r="A59" s="17">
        <v>44316</v>
      </c>
      <c r="B59" s="18">
        <v>651171.71165060007</v>
      </c>
      <c r="C59" s="18">
        <v>31.44</v>
      </c>
      <c r="D59" s="18">
        <v>10.176</v>
      </c>
      <c r="E59" s="18">
        <v>1.675</v>
      </c>
      <c r="F59" s="19">
        <f t="shared" si="0"/>
        <v>20711.568436723919</v>
      </c>
      <c r="G59" s="20">
        <f t="shared" si="1"/>
        <v>2.3568330739523136E-2</v>
      </c>
      <c r="H59" s="20" cm="1">
        <f t="array" ref="H59">PRODUCT(G59:G94+1)^(1/3)-1</f>
        <v>1.2666450922634187E-2</v>
      </c>
      <c r="I59" s="21">
        <f t="shared" si="2"/>
        <v>17256.33352208319</v>
      </c>
      <c r="J59" s="26">
        <v>74.05</v>
      </c>
    </row>
    <row r="60" spans="1:10" ht="14.4" x14ac:dyDescent="0.3">
      <c r="A60" s="17">
        <v>44286</v>
      </c>
      <c r="B60" s="18">
        <v>614567.42815176002</v>
      </c>
      <c r="C60" s="18">
        <v>30.372</v>
      </c>
      <c r="D60" s="18">
        <v>10.202999999999999</v>
      </c>
      <c r="E60" s="18">
        <v>1.722</v>
      </c>
      <c r="F60" s="19">
        <f t="shared" si="0"/>
        <v>20234.671017771634</v>
      </c>
      <c r="G60" s="20">
        <f t="shared" si="1"/>
        <v>-0.17680640872840581</v>
      </c>
      <c r="H60" s="20" cm="1">
        <f t="array" ref="H60">PRODUCT(G60:G95+1)^(1/3)-1</f>
        <v>5.8413485180292879E-2</v>
      </c>
      <c r="I60" s="21">
        <f t="shared" si="2"/>
        <v>17164.479071899888</v>
      </c>
      <c r="J60" s="26">
        <v>73.14</v>
      </c>
    </row>
    <row r="61" spans="1:10" ht="14.4" x14ac:dyDescent="0.3">
      <c r="A61" s="17">
        <v>44255</v>
      </c>
      <c r="B61" s="18">
        <v>601120.90884384001</v>
      </c>
      <c r="C61" s="18">
        <v>24.454999999999998</v>
      </c>
      <c r="D61" s="18">
        <v>10.432</v>
      </c>
      <c r="E61" s="18">
        <v>2.0550000000000002</v>
      </c>
      <c r="F61" s="19">
        <f t="shared" si="0"/>
        <v>24580.695516002455</v>
      </c>
      <c r="G61" s="20">
        <f t="shared" si="1"/>
        <v>4.0260061934006774E-2</v>
      </c>
      <c r="H61" s="20" cm="1">
        <f t="array" ref="H61">PRODUCT(G61:G96+1)^(1/3)-1</f>
        <v>0.12054976826742481</v>
      </c>
      <c r="I61" s="21">
        <f t="shared" si="2"/>
        <v>17074.857151823733</v>
      </c>
      <c r="J61" s="26">
        <v>73.92</v>
      </c>
    </row>
    <row r="62" spans="1:10" ht="14.4" x14ac:dyDescent="0.3">
      <c r="A62" s="17">
        <v>44227</v>
      </c>
      <c r="B62" s="18">
        <v>577856.375382</v>
      </c>
      <c r="C62" s="18">
        <v>24.454999999999998</v>
      </c>
      <c r="D62" s="18">
        <v>10.432</v>
      </c>
      <c r="E62" s="18">
        <v>2.0550000000000002</v>
      </c>
      <c r="F62" s="19">
        <f t="shared" si="0"/>
        <v>23629.375398977714</v>
      </c>
      <c r="G62" s="20">
        <f t="shared" si="1"/>
        <v>-1.2107483226905469E-2</v>
      </c>
      <c r="H62" s="20" cm="1">
        <f t="array" ref="H62">PRODUCT(G62:G97+1)^(1/3)-1</f>
        <v>9.9830167848960372E-2</v>
      </c>
      <c r="I62" s="21">
        <f t="shared" si="2"/>
        <v>16944.168241535524</v>
      </c>
      <c r="J62" s="26">
        <v>72.88</v>
      </c>
    </row>
    <row r="63" spans="1:10" ht="14.4" x14ac:dyDescent="0.3">
      <c r="A63" s="17">
        <v>44196</v>
      </c>
      <c r="B63" s="18">
        <v>584938.50856320001</v>
      </c>
      <c r="C63" s="18">
        <v>24.454999999999998</v>
      </c>
      <c r="D63" s="18">
        <v>10.432</v>
      </c>
      <c r="E63" s="18">
        <v>2.0550000000000002</v>
      </c>
      <c r="F63" s="19">
        <f t="shared" si="0"/>
        <v>23918.97397518708</v>
      </c>
      <c r="G63" s="20">
        <f t="shared" si="1"/>
        <v>2.9012784452040918E-2</v>
      </c>
      <c r="H63" s="20" cm="1">
        <f t="array" ref="H63">PRODUCT(G63:G98+1)^(1/3)-1</f>
        <v>0.10924226451938579</v>
      </c>
      <c r="I63" s="21">
        <f t="shared" si="2"/>
        <v>16821.392958255052</v>
      </c>
      <c r="J63" s="26">
        <v>73.040000000000006</v>
      </c>
    </row>
    <row r="64" spans="1:10" ht="14.4" x14ac:dyDescent="0.3">
      <c r="A64" s="17">
        <v>44165</v>
      </c>
      <c r="B64" s="18">
        <v>568446.29862853</v>
      </c>
      <c r="C64" s="18">
        <v>24.454999999999998</v>
      </c>
      <c r="D64" s="18">
        <v>10.432</v>
      </c>
      <c r="E64" s="18">
        <v>2.0550000000000002</v>
      </c>
      <c r="F64" s="19">
        <f t="shared" si="0"/>
        <v>23244.583873585361</v>
      </c>
      <c r="G64" s="20">
        <f t="shared" si="1"/>
        <v>0.11938931745079406</v>
      </c>
      <c r="H64" s="20" cm="1">
        <f t="array" ref="H64">PRODUCT(G64:G99+1)^(1/3)-1</f>
        <v>9.4192395755222647E-2</v>
      </c>
      <c r="I64" s="21">
        <f t="shared" si="2"/>
        <v>16694.094220491774</v>
      </c>
      <c r="J64" s="26">
        <v>73.989999999999995</v>
      </c>
    </row>
    <row r="65" spans="1:10" ht="14.4" x14ac:dyDescent="0.3">
      <c r="A65" s="17">
        <v>44135</v>
      </c>
      <c r="B65" s="18">
        <v>507818.22710535</v>
      </c>
      <c r="C65" s="18">
        <v>24.454999999999998</v>
      </c>
      <c r="D65" s="18">
        <v>10.432</v>
      </c>
      <c r="E65" s="18">
        <v>2.0550000000000002</v>
      </c>
      <c r="F65" s="19">
        <f t="shared" si="0"/>
        <v>20765.415134138213</v>
      </c>
      <c r="G65" s="20">
        <f t="shared" si="1"/>
        <v>-0.13388299340756138</v>
      </c>
      <c r="H65" s="20" cm="1">
        <f t="array" ref="H65">PRODUCT(G65:G100+1)^(1/3)-1</f>
        <v>6.115002667791769E-2</v>
      </c>
      <c r="I65" s="21">
        <f t="shared" si="2"/>
        <v>16572.621268732666</v>
      </c>
      <c r="J65" s="26">
        <v>74.55</v>
      </c>
    </row>
    <row r="66" spans="1:10" ht="14.4" x14ac:dyDescent="0.3">
      <c r="A66" s="17">
        <v>44104</v>
      </c>
      <c r="B66" s="18">
        <v>516931.44494255999</v>
      </c>
      <c r="C66" s="18">
        <v>21.561</v>
      </c>
      <c r="D66" s="18">
        <v>11.837999999999999</v>
      </c>
      <c r="E66" s="18">
        <v>2.081</v>
      </c>
      <c r="F66" s="19">
        <f t="shared" si="0"/>
        <v>23975.300076181993</v>
      </c>
      <c r="G66" s="20">
        <f t="shared" si="1"/>
        <v>-3.0413052284263609E-2</v>
      </c>
      <c r="H66" s="20" cm="1">
        <f t="array" ref="H66">PRODUCT(G66:G101+1)^(1/3)-1</f>
        <v>0.10831029670162029</v>
      </c>
      <c r="I66" s="21">
        <f t="shared" si="2"/>
        <v>16466.417276146254</v>
      </c>
      <c r="J66" s="26">
        <v>73.56</v>
      </c>
    </row>
    <row r="67" spans="1:10" ht="14.4" x14ac:dyDescent="0.3">
      <c r="A67" s="17">
        <v>44074</v>
      </c>
      <c r="B67" s="18">
        <v>533146.04343675007</v>
      </c>
      <c r="C67" s="18">
        <v>21.561</v>
      </c>
      <c r="D67" s="18">
        <v>11.837999999999999</v>
      </c>
      <c r="E67" s="18">
        <v>2.081</v>
      </c>
      <c r="F67" s="19">
        <f t="shared" ref="F67:F130" si="3">B67/C67</f>
        <v>24727.333771010162</v>
      </c>
      <c r="G67" s="20">
        <f t="shared" ref="G67:G130" si="4">F67/F68-1</f>
        <v>4.3034603385119885E-2</v>
      </c>
      <c r="H67" s="20" cm="1">
        <f t="array" ref="H67">PRODUCT(G67:G102+1)^(1/3)-1</f>
        <v>0.1354632888497207</v>
      </c>
      <c r="I67" s="21">
        <f t="shared" ref="I67:I130" si="5">AVERAGE(F67:F186)</f>
        <v>16332.906659090551</v>
      </c>
      <c r="J67" s="26">
        <v>73.25</v>
      </c>
    </row>
    <row r="68" spans="1:10" ht="14.4" x14ac:dyDescent="0.3">
      <c r="A68" s="17">
        <v>44043</v>
      </c>
      <c r="B68" s="18">
        <v>511148.95105728001</v>
      </c>
      <c r="C68" s="18">
        <v>21.561</v>
      </c>
      <c r="D68" s="18">
        <v>11.837999999999999</v>
      </c>
      <c r="E68" s="18">
        <v>2.081</v>
      </c>
      <c r="F68" s="19">
        <f t="shared" si="3"/>
        <v>23707.107789865033</v>
      </c>
      <c r="G68" s="20">
        <f t="shared" si="4"/>
        <v>-6.5489178570770079E-3</v>
      </c>
      <c r="H68" s="20" cm="1">
        <f t="array" ref="H68">PRODUCT(G68:G103+1)^(1/3)-1</f>
        <v>0.13289928562619524</v>
      </c>
      <c r="I68" s="21">
        <f t="shared" si="5"/>
        <v>16194.791166041796</v>
      </c>
      <c r="J68" s="26">
        <v>74.92</v>
      </c>
    </row>
    <row r="69" spans="1:10" ht="14.4" x14ac:dyDescent="0.3">
      <c r="A69" s="17">
        <v>44012</v>
      </c>
      <c r="B69" s="18">
        <v>491848.27259226009</v>
      </c>
      <c r="C69" s="18">
        <v>20.611000000000001</v>
      </c>
      <c r="D69" s="18">
        <v>12.087999999999999</v>
      </c>
      <c r="E69" s="18">
        <v>2.1659999999999999</v>
      </c>
      <c r="F69" s="19">
        <f t="shared" si="3"/>
        <v>23863.387152115865</v>
      </c>
      <c r="G69" s="20">
        <f t="shared" si="4"/>
        <v>-4.1862874655586135E-2</v>
      </c>
      <c r="H69" s="20" cm="1">
        <f t="array" ref="H69">PRODUCT(G69:G104+1)^(1/3)-1</f>
        <v>0.1392525345508171</v>
      </c>
      <c r="I69" s="21">
        <f t="shared" si="5"/>
        <v>16059.897020312323</v>
      </c>
      <c r="J69" s="26">
        <v>75.540000000000006</v>
      </c>
    </row>
    <row r="70" spans="1:10" ht="14.4" x14ac:dyDescent="0.3">
      <c r="A70" s="17">
        <v>43982</v>
      </c>
      <c r="B70" s="18">
        <v>479490.79239299003</v>
      </c>
      <c r="C70" s="18">
        <v>19.251999999999999</v>
      </c>
      <c r="D70" s="18">
        <v>12.366</v>
      </c>
      <c r="E70" s="18">
        <v>2.2519999999999998</v>
      </c>
      <c r="F70" s="19">
        <f t="shared" si="3"/>
        <v>24906.024952887496</v>
      </c>
      <c r="G70" s="20">
        <f t="shared" si="4"/>
        <v>-4.0015669855203218E-2</v>
      </c>
      <c r="H70" s="20" cm="1">
        <f t="array" ref="H70">PRODUCT(G70:G105+1)^(1/3)-1</f>
        <v>0.16206369591551595</v>
      </c>
      <c r="I70" s="21">
        <f t="shared" si="5"/>
        <v>15922.215538881652</v>
      </c>
      <c r="J70" s="26">
        <v>75.59</v>
      </c>
    </row>
    <row r="71" spans="1:10" ht="14.4" x14ac:dyDescent="0.3">
      <c r="A71" s="17">
        <v>43951</v>
      </c>
      <c r="B71" s="18">
        <v>454308.87698367995</v>
      </c>
      <c r="C71" s="18">
        <v>17.510999999999999</v>
      </c>
      <c r="D71" s="18">
        <v>12.840999999999999</v>
      </c>
      <c r="E71" s="18">
        <v>2.3660000000000001</v>
      </c>
      <c r="F71" s="19">
        <f t="shared" si="3"/>
        <v>25944.19947368397</v>
      </c>
      <c r="G71" s="20">
        <f t="shared" si="4"/>
        <v>-7.6386974215930659E-3</v>
      </c>
      <c r="H71" s="20" cm="1">
        <f t="array" ref="H71">PRODUCT(G71:G106+1)^(1/3)-1</f>
        <v>0.20008128606525677</v>
      </c>
      <c r="I71" s="21">
        <f t="shared" si="5"/>
        <v>15772.748305297962</v>
      </c>
      <c r="J71" s="26">
        <v>75.08</v>
      </c>
    </row>
    <row r="72" spans="1:10" ht="14.4" x14ac:dyDescent="0.3">
      <c r="A72" s="17">
        <v>43921</v>
      </c>
      <c r="B72" s="18">
        <v>410929.89646797004</v>
      </c>
      <c r="C72" s="18">
        <v>15.718</v>
      </c>
      <c r="D72" s="18">
        <v>12.971</v>
      </c>
      <c r="E72" s="18">
        <v>2.9660000000000002</v>
      </c>
      <c r="F72" s="19">
        <f t="shared" si="3"/>
        <v>26143.904852269374</v>
      </c>
      <c r="G72" s="20">
        <f t="shared" si="4"/>
        <v>0.14556156122254049</v>
      </c>
      <c r="H72" s="20" cm="1">
        <f t="array" ref="H72">PRODUCT(G72:G107+1)^(1/3)-1</f>
        <v>0.20012829549247746</v>
      </c>
      <c r="I72" s="21">
        <f t="shared" si="5"/>
        <v>15608.000721893566</v>
      </c>
      <c r="J72" s="26">
        <v>75.33</v>
      </c>
    </row>
    <row r="73" spans="1:10" ht="14.4" x14ac:dyDescent="0.3">
      <c r="A73" s="17">
        <v>43890</v>
      </c>
      <c r="B73" s="18">
        <v>456004.61863936001</v>
      </c>
      <c r="C73" s="18">
        <v>19.981000000000002</v>
      </c>
      <c r="D73" s="18">
        <v>12.845000000000001</v>
      </c>
      <c r="E73" s="18">
        <v>2.343</v>
      </c>
      <c r="F73" s="19">
        <f t="shared" si="3"/>
        <v>22821.911748128721</v>
      </c>
      <c r="G73" s="20">
        <f t="shared" si="4"/>
        <v>-7.1856530676495223E-2</v>
      </c>
      <c r="H73" s="20" cm="1">
        <f t="array" ref="H73">PRODUCT(G73:G108+1)^(1/3)-1</f>
        <v>0.14806908544879094</v>
      </c>
      <c r="I73" s="21">
        <f t="shared" si="5"/>
        <v>15441.026110858906</v>
      </c>
      <c r="J73" s="26">
        <v>72.53</v>
      </c>
    </row>
    <row r="74" spans="1:10" ht="14.4" x14ac:dyDescent="0.3">
      <c r="A74" s="17">
        <v>43861</v>
      </c>
      <c r="B74" s="18">
        <v>491308.33078180009</v>
      </c>
      <c r="C74" s="18">
        <v>19.981000000000002</v>
      </c>
      <c r="D74" s="18">
        <v>12.845000000000001</v>
      </c>
      <c r="E74" s="18">
        <v>2.343</v>
      </c>
      <c r="F74" s="19">
        <f t="shared" si="3"/>
        <v>24588.775876172367</v>
      </c>
      <c r="G74" s="20">
        <f t="shared" si="4"/>
        <v>-6.0048501302324753E-2</v>
      </c>
      <c r="H74" s="20" cm="1">
        <f t="array" ref="H74">PRODUCT(G74:G109+1)^(1/3)-1</f>
        <v>0.17511909929773672</v>
      </c>
      <c r="I74" s="21">
        <f t="shared" si="5"/>
        <v>15288.877545578865</v>
      </c>
      <c r="J74" s="26">
        <v>71.540000000000006</v>
      </c>
    </row>
    <row r="75" spans="1:10" ht="14.4" x14ac:dyDescent="0.3">
      <c r="A75" s="17">
        <v>43830</v>
      </c>
      <c r="B75" s="18">
        <v>493004.23564874998</v>
      </c>
      <c r="C75" s="18">
        <v>18.846</v>
      </c>
      <c r="D75" s="18">
        <v>13.121</v>
      </c>
      <c r="E75" s="18">
        <v>2.4289999999999998</v>
      </c>
      <c r="F75" s="19">
        <f t="shared" si="3"/>
        <v>26159.621970113021</v>
      </c>
      <c r="G75" s="20">
        <f t="shared" si="4"/>
        <v>2.4216315247119535E-2</v>
      </c>
      <c r="H75" s="20" cm="1">
        <f t="array" ref="H75">PRODUCT(G75:G110+1)^(1/3)-1</f>
        <v>0.20343888737279525</v>
      </c>
      <c r="I75" s="21">
        <f t="shared" si="5"/>
        <v>15121.492681686239</v>
      </c>
      <c r="J75" s="26">
        <v>71.349999999999994</v>
      </c>
    </row>
    <row r="76" spans="1:10" ht="14.4" x14ac:dyDescent="0.3">
      <c r="A76" s="17">
        <v>43799</v>
      </c>
      <c r="B76" s="18">
        <v>481347.76639424998</v>
      </c>
      <c r="C76" s="18">
        <v>18.846</v>
      </c>
      <c r="D76" s="18">
        <v>13.121</v>
      </c>
      <c r="E76" s="18">
        <v>2.4289999999999998</v>
      </c>
      <c r="F76" s="19">
        <f t="shared" si="3"/>
        <v>25541.110389167461</v>
      </c>
      <c r="G76" s="20">
        <f t="shared" si="4"/>
        <v>3.900041000386989E-2</v>
      </c>
      <c r="H76" s="20" cm="1">
        <f t="array" ref="H76">PRODUCT(G76:G111+1)^(1/3)-1</f>
        <v>0.19252821701142353</v>
      </c>
      <c r="I76" s="21">
        <f t="shared" si="5"/>
        <v>14941.466495570789</v>
      </c>
      <c r="J76" s="26">
        <v>71.75</v>
      </c>
    </row>
    <row r="77" spans="1:10" ht="14.4" x14ac:dyDescent="0.3">
      <c r="A77" s="17">
        <v>43769</v>
      </c>
      <c r="B77" s="18">
        <v>463279.66934340005</v>
      </c>
      <c r="C77" s="18">
        <v>18.846</v>
      </c>
      <c r="D77" s="18">
        <v>13.121</v>
      </c>
      <c r="E77" s="18">
        <v>2.4289999999999998</v>
      </c>
      <c r="F77" s="19">
        <f t="shared" si="3"/>
        <v>24582.387209137221</v>
      </c>
      <c r="G77" s="20">
        <f t="shared" si="4"/>
        <v>1.0153784501972352E-2</v>
      </c>
      <c r="H77" s="20" cm="1">
        <f t="array" ref="H77">PRODUCT(G77:G112+1)^(1/3)-1</f>
        <v>0.19422249584503271</v>
      </c>
      <c r="I77" s="21">
        <f t="shared" si="5"/>
        <v>14768.488678626014</v>
      </c>
      <c r="J77" s="26">
        <v>70.98</v>
      </c>
    </row>
    <row r="78" spans="1:10" ht="14.4" x14ac:dyDescent="0.3">
      <c r="A78" s="17">
        <v>43738</v>
      </c>
      <c r="B78" s="18">
        <v>449618.85313328</v>
      </c>
      <c r="C78" s="18">
        <v>18.475999999999999</v>
      </c>
      <c r="D78" s="18">
        <v>13.291</v>
      </c>
      <c r="E78" s="18">
        <v>2.444</v>
      </c>
      <c r="F78" s="19">
        <f t="shared" si="3"/>
        <v>24335.29189939814</v>
      </c>
      <c r="G78" s="20">
        <f t="shared" si="4"/>
        <v>9.7031146541814994E-3</v>
      </c>
      <c r="H78" s="20" cm="1">
        <f t="array" ref="H78">PRODUCT(G78:G113+1)^(1/3)-1</f>
        <v>0.18249800008694828</v>
      </c>
      <c r="I78" s="21">
        <f t="shared" si="5"/>
        <v>14605.539869077727</v>
      </c>
      <c r="J78" s="26">
        <v>70.64</v>
      </c>
    </row>
    <row r="79" spans="1:10" ht="14.4" x14ac:dyDescent="0.3">
      <c r="A79" s="17">
        <v>43708</v>
      </c>
      <c r="B79" s="18">
        <v>445298.07485764998</v>
      </c>
      <c r="C79" s="18">
        <v>18.475999999999999</v>
      </c>
      <c r="D79" s="18">
        <v>13.291</v>
      </c>
      <c r="E79" s="18">
        <v>2.444</v>
      </c>
      <c r="F79" s="19">
        <f t="shared" si="3"/>
        <v>24101.432932325719</v>
      </c>
      <c r="G79" s="20">
        <f t="shared" si="4"/>
        <v>1.638866335056588E-2</v>
      </c>
      <c r="H79" s="20" cm="1">
        <f t="array" ref="H79">PRODUCT(G79:G114+1)^(1/3)-1</f>
        <v>0.1747200077849802</v>
      </c>
      <c r="I79" s="21">
        <f t="shared" si="5"/>
        <v>14445.17562643135</v>
      </c>
      <c r="J79" s="26">
        <v>71.45</v>
      </c>
    </row>
    <row r="80" spans="1:10" ht="14.4" x14ac:dyDescent="0.3">
      <c r="A80" s="17">
        <v>43677</v>
      </c>
      <c r="B80" s="18">
        <v>438117.90795629995</v>
      </c>
      <c r="C80" s="18">
        <v>18.475999999999999</v>
      </c>
      <c r="D80" s="18">
        <v>13.291</v>
      </c>
      <c r="E80" s="18">
        <v>2.444</v>
      </c>
      <c r="F80" s="19">
        <f t="shared" si="3"/>
        <v>23712.811645177528</v>
      </c>
      <c r="G80" s="20">
        <f t="shared" si="4"/>
        <v>-6.5897171427493628E-3</v>
      </c>
      <c r="H80" s="20" cm="1">
        <f t="array" ref="H80">PRODUCT(G80:G115+1)^(1/3)-1</f>
        <v>0.16463841801759416</v>
      </c>
      <c r="I80" s="21">
        <f t="shared" si="5"/>
        <v>14293.435003807062</v>
      </c>
      <c r="J80" s="26">
        <v>68.86</v>
      </c>
    </row>
    <row r="81" spans="1:10" ht="14.4" x14ac:dyDescent="0.3">
      <c r="A81" s="17">
        <v>43646</v>
      </c>
      <c r="B81" s="18">
        <v>436464.94143887999</v>
      </c>
      <c r="C81" s="18">
        <v>18.285</v>
      </c>
      <c r="D81" s="18">
        <v>13.305999999999999</v>
      </c>
      <c r="E81" s="18">
        <v>2.4540000000000002</v>
      </c>
      <c r="F81" s="19">
        <f t="shared" si="3"/>
        <v>23870.108911068088</v>
      </c>
      <c r="G81" s="20">
        <f t="shared" si="4"/>
        <v>6.2753753258317779E-3</v>
      </c>
      <c r="H81" s="20" cm="1">
        <f t="array" ref="H81">PRODUCT(G81:G116+1)^(1/3)-1</f>
        <v>0.16233291440847109</v>
      </c>
      <c r="I81" s="21">
        <f t="shared" si="5"/>
        <v>14147.707014765114</v>
      </c>
      <c r="J81" s="26">
        <v>68.94</v>
      </c>
    </row>
    <row r="82" spans="1:10" ht="14.4" x14ac:dyDescent="0.3">
      <c r="A82" s="17">
        <v>43616</v>
      </c>
      <c r="B82" s="18">
        <v>413224.16052977997</v>
      </c>
      <c r="C82" s="18">
        <v>17.420000000000002</v>
      </c>
      <c r="D82" s="18">
        <v>13.282999999999999</v>
      </c>
      <c r="E82" s="18">
        <v>2.5859999999999999</v>
      </c>
      <c r="F82" s="19">
        <f t="shared" si="3"/>
        <v>23721.249169332947</v>
      </c>
      <c r="G82" s="20">
        <f t="shared" si="4"/>
        <v>-3.7951254409214874E-2</v>
      </c>
      <c r="H82" s="20" cm="1">
        <f t="array" ref="H82">PRODUCT(G82:G117+1)^(1/3)-1</f>
        <v>0.15098183496645579</v>
      </c>
      <c r="I82" s="21">
        <f t="shared" si="5"/>
        <v>14001.89403806251</v>
      </c>
      <c r="J82" s="26">
        <v>69.569999999999993</v>
      </c>
    </row>
    <row r="83" spans="1:10" ht="14.4" x14ac:dyDescent="0.3">
      <c r="A83" s="17">
        <v>43585</v>
      </c>
      <c r="B83" s="18">
        <v>438968.81618228002</v>
      </c>
      <c r="C83" s="18">
        <v>17.803000000000001</v>
      </c>
      <c r="D83" s="18">
        <v>13.436999999999999</v>
      </c>
      <c r="E83" s="18">
        <v>2.5139999999999998</v>
      </c>
      <c r="F83" s="19">
        <f t="shared" si="3"/>
        <v>24657.013771964277</v>
      </c>
      <c r="G83" s="20">
        <f t="shared" si="4"/>
        <v>4.2344412671276643E-2</v>
      </c>
      <c r="H83" s="20" cm="1">
        <f t="array" ref="H83">PRODUCT(G83:G118+1)^(1/3)-1</f>
        <v>0.17265535579191349</v>
      </c>
      <c r="I83" s="21">
        <f t="shared" si="5"/>
        <v>13862.454137074146</v>
      </c>
      <c r="J83" s="26">
        <v>69.64</v>
      </c>
    </row>
    <row r="84" spans="1:10" ht="14.4" x14ac:dyDescent="0.3">
      <c r="A84" s="17">
        <v>43555</v>
      </c>
      <c r="B84" s="18">
        <v>421136.05718604004</v>
      </c>
      <c r="C84" s="18">
        <v>17.803000000000001</v>
      </c>
      <c r="D84" s="18">
        <v>13.436999999999999</v>
      </c>
      <c r="E84" s="18">
        <v>2.5139999999999998</v>
      </c>
      <c r="F84" s="19">
        <f t="shared" si="3"/>
        <v>23655.342199968545</v>
      </c>
      <c r="G84" s="20">
        <f t="shared" si="4"/>
        <v>-2.0638290394177639E-2</v>
      </c>
      <c r="H84" s="20" cm="1">
        <f t="array" ref="H84">PRODUCT(G84:G119+1)^(1/3)-1</f>
        <v>0.15334606344886126</v>
      </c>
      <c r="I84" s="21">
        <f t="shared" si="5"/>
        <v>13719.291945621004</v>
      </c>
      <c r="J84" s="26">
        <v>69.180000000000007</v>
      </c>
    </row>
    <row r="85" spans="1:10" ht="14.4" x14ac:dyDescent="0.3">
      <c r="A85" s="17">
        <v>43524</v>
      </c>
      <c r="B85" s="18">
        <v>425590.59178575</v>
      </c>
      <c r="C85" s="18">
        <v>17.62</v>
      </c>
      <c r="D85" s="18">
        <v>13.381</v>
      </c>
      <c r="E85" s="18">
        <v>2.5379999999999998</v>
      </c>
      <c r="F85" s="19">
        <f t="shared" si="3"/>
        <v>24153.836083186718</v>
      </c>
      <c r="G85" s="20">
        <f t="shared" si="4"/>
        <v>-8.530545872952322E-4</v>
      </c>
      <c r="H85" s="20" cm="1">
        <f t="array" ref="H85">PRODUCT(G85:G120+1)^(1/3)-1</f>
        <v>0.14066611394417872</v>
      </c>
      <c r="I85" s="21">
        <f t="shared" si="5"/>
        <v>13586.622240991159</v>
      </c>
      <c r="J85" s="26">
        <v>70.83</v>
      </c>
    </row>
    <row r="86" spans="1:10" ht="14.4" x14ac:dyDescent="0.3">
      <c r="A86" s="17">
        <v>43496</v>
      </c>
      <c r="B86" s="18">
        <v>413866.72465215001</v>
      </c>
      <c r="C86" s="18">
        <v>17.12</v>
      </c>
      <c r="D86" s="18">
        <v>13.425000000000001</v>
      </c>
      <c r="E86" s="18">
        <v>2.5910000000000002</v>
      </c>
      <c r="F86" s="19">
        <f t="shared" si="3"/>
        <v>24174.458215662966</v>
      </c>
      <c r="G86" s="20">
        <f t="shared" si="4"/>
        <v>3.2881841583015436E-2</v>
      </c>
      <c r="H86" s="20" cm="1">
        <f t="array" ref="H86">PRODUCT(G86:G121+1)^(1/3)-1</f>
        <v>0.14715354345611797</v>
      </c>
      <c r="I86" s="21">
        <f t="shared" si="5"/>
        <v>13463.590519765021</v>
      </c>
      <c r="J86" s="26">
        <v>70.95</v>
      </c>
    </row>
    <row r="87" spans="1:10" ht="14.4" x14ac:dyDescent="0.3">
      <c r="A87" s="17">
        <v>43465</v>
      </c>
      <c r="B87" s="18">
        <v>376467.22475340002</v>
      </c>
      <c r="C87" s="18">
        <v>16.085000000000001</v>
      </c>
      <c r="D87" s="18">
        <v>13.391</v>
      </c>
      <c r="E87" s="18">
        <v>2.7589999999999999</v>
      </c>
      <c r="F87" s="19">
        <f t="shared" si="3"/>
        <v>23404.863211277589</v>
      </c>
      <c r="G87" s="20">
        <f t="shared" si="4"/>
        <v>5.5800958265894707E-3</v>
      </c>
      <c r="H87" s="20" cm="1">
        <f t="array" ref="H87">PRODUCT(G87:G122+1)^(1/3)-1</f>
        <v>0.14278619011311622</v>
      </c>
      <c r="I87" s="21">
        <f t="shared" si="5"/>
        <v>13342.925638799055</v>
      </c>
      <c r="J87" s="26">
        <v>69.56</v>
      </c>
    </row>
    <row r="88" spans="1:10" ht="14.4" x14ac:dyDescent="0.3">
      <c r="A88" s="17">
        <v>43434</v>
      </c>
      <c r="B88" s="18">
        <v>407917.41437928</v>
      </c>
      <c r="C88" s="18">
        <v>17.526</v>
      </c>
      <c r="D88" s="18">
        <v>13.304</v>
      </c>
      <c r="E88" s="18">
        <v>2.5310000000000001</v>
      </c>
      <c r="F88" s="19">
        <f t="shared" si="3"/>
        <v>23274.986555932901</v>
      </c>
      <c r="G88" s="20">
        <f t="shared" si="4"/>
        <v>-2.688012129754791E-2</v>
      </c>
      <c r="H88" s="20" cm="1">
        <f t="array" ref="H88">PRODUCT(G88:G123+1)^(1/3)-1</f>
        <v>0.13889732370423324</v>
      </c>
      <c r="I88" s="21">
        <f t="shared" si="5"/>
        <v>13227.178135285005</v>
      </c>
      <c r="J88" s="26">
        <v>69.64</v>
      </c>
    </row>
    <row r="89" spans="1:10" ht="14.4" x14ac:dyDescent="0.3">
      <c r="A89" s="17">
        <v>43404</v>
      </c>
      <c r="B89" s="18">
        <v>428297.88331200002</v>
      </c>
      <c r="C89" s="18">
        <v>17.907</v>
      </c>
      <c r="D89" s="18">
        <v>12.926</v>
      </c>
      <c r="E89" s="18">
        <v>2.54</v>
      </c>
      <c r="F89" s="19">
        <f t="shared" si="3"/>
        <v>23917.902681186129</v>
      </c>
      <c r="G89" s="20">
        <f t="shared" si="4"/>
        <v>2.1421180441561383E-2</v>
      </c>
      <c r="H89" s="20" cm="1">
        <f t="array" ref="H89">PRODUCT(G89:G124+1)^(1/3)-1</f>
        <v>0.14648878145274047</v>
      </c>
      <c r="I89" s="21">
        <f t="shared" si="5"/>
        <v>13114.005218986033</v>
      </c>
      <c r="J89" s="26">
        <v>73.95</v>
      </c>
    </row>
    <row r="90" spans="1:10" ht="14.4" x14ac:dyDescent="0.3">
      <c r="A90" s="17">
        <v>43373</v>
      </c>
      <c r="B90" s="18">
        <v>453175.61398999998</v>
      </c>
      <c r="C90" s="18">
        <v>19.353000000000002</v>
      </c>
      <c r="D90" s="18">
        <v>12.872</v>
      </c>
      <c r="E90" s="18">
        <v>2.3519999999999999</v>
      </c>
      <c r="F90" s="19">
        <f t="shared" si="3"/>
        <v>23416.297937787422</v>
      </c>
      <c r="G90" s="20">
        <f t="shared" si="4"/>
        <v>3.206517936857578E-2</v>
      </c>
      <c r="H90" s="20" cm="1">
        <f t="array" ref="H90">PRODUCT(G90:G125+1)^(1/3)-1</f>
        <v>0.13972353622432498</v>
      </c>
      <c r="I90" s="21">
        <f t="shared" si="5"/>
        <v>12996.325832652587</v>
      </c>
      <c r="J90" s="26">
        <v>72.5</v>
      </c>
    </row>
    <row r="91" spans="1:10" ht="14.4" x14ac:dyDescent="0.3">
      <c r="A91" s="17">
        <v>43343</v>
      </c>
      <c r="B91" s="18">
        <v>441342.11345500004</v>
      </c>
      <c r="C91" s="18">
        <v>19.452000000000002</v>
      </c>
      <c r="D91" s="18">
        <v>12.708</v>
      </c>
      <c r="E91" s="18">
        <v>2.3490000000000002</v>
      </c>
      <c r="F91" s="19">
        <f t="shared" si="3"/>
        <v>22688.778195301256</v>
      </c>
      <c r="G91" s="20">
        <f t="shared" si="4"/>
        <v>7.2652354310196232E-2</v>
      </c>
      <c r="H91" s="20" cm="1">
        <f t="array" ref="H91">PRODUCT(G91:G126+1)^(1/3)-1</f>
        <v>0.1213599397080829</v>
      </c>
      <c r="I91" s="21">
        <f t="shared" si="5"/>
        <v>12882.061825072666</v>
      </c>
      <c r="J91" s="26">
        <v>71</v>
      </c>
    </row>
    <row r="92" spans="1:10" ht="14.4" x14ac:dyDescent="0.3">
      <c r="A92" s="17">
        <v>43312</v>
      </c>
      <c r="B92" s="18">
        <v>420290.89940380002</v>
      </c>
      <c r="C92" s="18">
        <v>19.87</v>
      </c>
      <c r="D92" s="18">
        <v>12.332000000000001</v>
      </c>
      <c r="E92" s="18">
        <v>2.3610000000000002</v>
      </c>
      <c r="F92" s="19">
        <f t="shared" si="3"/>
        <v>21152.033185898341</v>
      </c>
      <c r="G92" s="20">
        <f t="shared" si="4"/>
        <v>4.5055493066123997E-3</v>
      </c>
      <c r="H92" s="20" cm="1">
        <f t="array" ref="H92">PRODUCT(G92:G127+1)^(1/3)-1</f>
        <v>0.10951217177894845</v>
      </c>
      <c r="I92" s="21">
        <f t="shared" si="5"/>
        <v>12773.490391706404</v>
      </c>
      <c r="J92" s="26">
        <v>68.45</v>
      </c>
    </row>
    <row r="93" spans="1:10" ht="14.4" x14ac:dyDescent="0.3">
      <c r="A93" s="17">
        <v>43281</v>
      </c>
      <c r="B93" s="18">
        <v>407561.31471415004</v>
      </c>
      <c r="C93" s="18">
        <v>19.355</v>
      </c>
      <c r="D93" s="18">
        <v>12.292</v>
      </c>
      <c r="E93" s="18">
        <v>2.4079999999999999</v>
      </c>
      <c r="F93" s="19">
        <f t="shared" si="3"/>
        <v>21057.15911723844</v>
      </c>
      <c r="G93" s="20">
        <f t="shared" si="4"/>
        <v>1.1227790651040959E-2</v>
      </c>
      <c r="H93" s="20" cm="1">
        <f t="array" ref="H93">PRODUCT(G93:G128+1)^(1/3)-1</f>
        <v>0.10885952169390678</v>
      </c>
      <c r="I93" s="21">
        <f t="shared" si="5"/>
        <v>12677.022650616635</v>
      </c>
      <c r="J93" s="26">
        <v>68.45</v>
      </c>
    </row>
    <row r="94" spans="1:10" ht="14.4" x14ac:dyDescent="0.3">
      <c r="A94" s="17">
        <v>43251</v>
      </c>
      <c r="B94" s="18">
        <v>401620.12125152</v>
      </c>
      <c r="C94" s="18">
        <v>19.286999999999999</v>
      </c>
      <c r="D94" s="18">
        <v>12.269</v>
      </c>
      <c r="E94" s="18">
        <v>2.4060000000000001</v>
      </c>
      <c r="F94" s="19">
        <f t="shared" si="3"/>
        <v>20823.358803936331</v>
      </c>
      <c r="G94" s="20">
        <f t="shared" si="4"/>
        <v>4.4087896064180843E-2</v>
      </c>
      <c r="H94" s="20" cm="1">
        <f t="array" ref="H94">PRODUCT(G94:G129+1)^(1/3)-1</f>
        <v>0.10633616221354458</v>
      </c>
      <c r="I94" s="21">
        <f t="shared" si="5"/>
        <v>12582.566288183256</v>
      </c>
      <c r="J94" s="26">
        <v>67.42</v>
      </c>
    </row>
    <row r="95" spans="1:10" ht="14.4" x14ac:dyDescent="0.3">
      <c r="A95" s="17">
        <v>43220</v>
      </c>
      <c r="B95" s="18">
        <v>393376.77469215001</v>
      </c>
      <c r="C95" s="18">
        <v>19.724</v>
      </c>
      <c r="D95" s="18">
        <v>11.939</v>
      </c>
      <c r="E95" s="18">
        <v>2.41</v>
      </c>
      <c r="F95" s="19">
        <f t="shared" si="3"/>
        <v>19944.066857237376</v>
      </c>
      <c r="G95" s="20">
        <f t="shared" si="4"/>
        <v>0.16864785716154107</v>
      </c>
      <c r="H95" s="20" cm="1">
        <f t="array" ref="H95">PRODUCT(G95:G130+1)^(1/3)-1</f>
        <v>8.5279762045119112E-2</v>
      </c>
      <c r="I95" s="21">
        <f t="shared" si="5"/>
        <v>12490.299964992049</v>
      </c>
      <c r="J95" s="26">
        <v>66.45</v>
      </c>
    </row>
    <row r="96" spans="1:10" ht="14.4" x14ac:dyDescent="0.3">
      <c r="A96" s="17">
        <v>43190</v>
      </c>
      <c r="B96" s="18">
        <v>381065.23374533997</v>
      </c>
      <c r="C96" s="18">
        <v>22.329000000000001</v>
      </c>
      <c r="D96" s="18">
        <v>11.284000000000001</v>
      </c>
      <c r="E96" s="18">
        <v>2.2269999999999999</v>
      </c>
      <c r="F96" s="19">
        <f t="shared" si="3"/>
        <v>17065.933707077791</v>
      </c>
      <c r="G96" s="20">
        <f t="shared" si="4"/>
        <v>-2.3146723650609657E-2</v>
      </c>
      <c r="H96" s="20" cm="1">
        <f t="array" ref="H96">PRODUCT(G96:G131+1)^(1/3)-1</f>
        <v>4.3395009377612537E-2</v>
      </c>
      <c r="I96" s="21">
        <f t="shared" si="5"/>
        <v>12402.095003780878</v>
      </c>
      <c r="J96" s="26">
        <v>65.11</v>
      </c>
    </row>
    <row r="97" spans="1:10" ht="14.4" x14ac:dyDescent="0.3">
      <c r="A97" s="17">
        <v>43159</v>
      </c>
      <c r="B97" s="18">
        <v>390094.64673079998</v>
      </c>
      <c r="C97" s="18">
        <v>22.329000000000001</v>
      </c>
      <c r="D97" s="18">
        <v>11.284000000000001</v>
      </c>
      <c r="E97" s="18">
        <v>2.2269999999999999</v>
      </c>
      <c r="F97" s="19">
        <f t="shared" si="3"/>
        <v>17470.314242948632</v>
      </c>
      <c r="G97" s="20">
        <f t="shared" si="4"/>
        <v>-1.6384511173386351E-2</v>
      </c>
      <c r="H97" s="20" cm="1">
        <f t="array" ref="H97">PRODUCT(G97:G132+1)^(1/3)-1</f>
        <v>4.080318993469545E-2</v>
      </c>
      <c r="I97" s="21">
        <f t="shared" si="5"/>
        <v>12337.6307375619</v>
      </c>
      <c r="J97" s="26">
        <v>65.2</v>
      </c>
    </row>
    <row r="98" spans="1:10" ht="14.4" x14ac:dyDescent="0.3">
      <c r="A98" s="17">
        <v>43131</v>
      </c>
      <c r="B98" s="18">
        <v>396592.62299352</v>
      </c>
      <c r="C98" s="18">
        <v>22.329000000000001</v>
      </c>
      <c r="D98" s="18">
        <v>11.284000000000001</v>
      </c>
      <c r="E98" s="18">
        <v>2.2269999999999999</v>
      </c>
      <c r="F98" s="19">
        <f t="shared" si="3"/>
        <v>17761.324868714226</v>
      </c>
      <c r="G98" s="20">
        <f t="shared" si="4"/>
        <v>1.3472661312153633E-2</v>
      </c>
      <c r="H98" s="20" cm="1">
        <f t="array" ref="H98">PRODUCT(G98:G133+1)^(1/3)-1</f>
        <v>4.7010266857711702E-2</v>
      </c>
      <c r="I98" s="21">
        <f t="shared" si="5"/>
        <v>12270.946483738287</v>
      </c>
      <c r="J98" s="26">
        <v>63.54</v>
      </c>
    </row>
    <row r="99" spans="1:10" ht="14.4" x14ac:dyDescent="0.3">
      <c r="A99" s="17">
        <v>43100</v>
      </c>
      <c r="B99" s="18">
        <v>378421.93729587004</v>
      </c>
      <c r="C99" s="18">
        <v>21.593</v>
      </c>
      <c r="D99" s="18">
        <v>11.271000000000001</v>
      </c>
      <c r="E99" s="18">
        <v>2.294</v>
      </c>
      <c r="F99" s="19">
        <f t="shared" si="3"/>
        <v>17525.213601438893</v>
      </c>
      <c r="G99" s="20">
        <f t="shared" si="4"/>
        <v>-1.2305532914166584E-2</v>
      </c>
      <c r="H99" s="20" cm="1">
        <f t="array" ref="H99">PRODUCT(G99:G134+1)^(1/3)-1</f>
        <v>3.355652605854309E-2</v>
      </c>
      <c r="I99" s="21">
        <f t="shared" si="5"/>
        <v>12199.615675639057</v>
      </c>
      <c r="J99" s="26">
        <v>63.83</v>
      </c>
    </row>
    <row r="100" spans="1:10" ht="14.4" x14ac:dyDescent="0.3">
      <c r="A100" s="17">
        <v>43069</v>
      </c>
      <c r="B100" s="18">
        <v>377174.80247200007</v>
      </c>
      <c r="C100" s="18">
        <v>21.257000000000001</v>
      </c>
      <c r="D100" s="18">
        <v>11.339</v>
      </c>
      <c r="E100" s="18">
        <v>2.3260000000000001</v>
      </c>
      <c r="F100" s="19">
        <f t="shared" si="3"/>
        <v>17743.557532671592</v>
      </c>
      <c r="G100" s="20">
        <f t="shared" si="4"/>
        <v>2.1011066243588949E-2</v>
      </c>
      <c r="H100" s="20" cm="1">
        <f t="array" ref="H100">PRODUCT(G100:G135+1)^(1/3)-1</f>
        <v>4.0590467854544565E-2</v>
      </c>
      <c r="I100" s="21">
        <f t="shared" si="5"/>
        <v>12129.605629450072</v>
      </c>
      <c r="J100" s="26">
        <v>64.48</v>
      </c>
    </row>
    <row r="101" spans="1:10" ht="14.4" x14ac:dyDescent="0.3">
      <c r="A101" s="17">
        <v>43039</v>
      </c>
      <c r="B101" s="18">
        <v>370664.28673170001</v>
      </c>
      <c r="C101" s="18">
        <v>21.329000000000001</v>
      </c>
      <c r="D101" s="18">
        <v>11.329000000000001</v>
      </c>
      <c r="E101" s="18">
        <v>2.347</v>
      </c>
      <c r="F101" s="19">
        <f t="shared" si="3"/>
        <v>17378.418431792394</v>
      </c>
      <c r="G101" s="20">
        <f t="shared" si="4"/>
        <v>-1.3197360624872423E-2</v>
      </c>
      <c r="H101" s="20" cm="1">
        <f t="array" ref="H101">PRODUCT(G101:G136+1)^(1/3)-1</f>
        <v>4.2367042304412683E-2</v>
      </c>
      <c r="I101" s="21">
        <f t="shared" si="5"/>
        <v>12058.577842845216</v>
      </c>
      <c r="J101" s="26">
        <v>64.739999999999995</v>
      </c>
    </row>
    <row r="102" spans="1:10" ht="14.4" x14ac:dyDescent="0.3">
      <c r="A102" s="17">
        <v>43008</v>
      </c>
      <c r="B102" s="18">
        <v>366992.18997776997</v>
      </c>
      <c r="C102" s="18">
        <v>20.838999999999999</v>
      </c>
      <c r="D102" s="18">
        <v>11.34</v>
      </c>
      <c r="E102" s="18">
        <v>2.395</v>
      </c>
      <c r="F102" s="19">
        <f t="shared" si="3"/>
        <v>17610.834971820626</v>
      </c>
      <c r="G102" s="20">
        <f t="shared" si="4"/>
        <v>4.2610150250591561E-2</v>
      </c>
      <c r="H102" s="20" cm="1">
        <f t="array" ref="H102">PRODUCT(G102:G137+1)^(1/3)-1</f>
        <v>4.2750206327852203E-2</v>
      </c>
      <c r="I102" s="21">
        <f t="shared" si="5"/>
        <v>11989.593992663278</v>
      </c>
      <c r="J102" s="26">
        <v>65.31</v>
      </c>
    </row>
    <row r="103" spans="1:10" ht="14.4" x14ac:dyDescent="0.3">
      <c r="A103" s="17">
        <v>42978</v>
      </c>
      <c r="B103" s="18">
        <v>351351.82422767999</v>
      </c>
      <c r="C103" s="18">
        <v>20.800999999999998</v>
      </c>
      <c r="D103" s="18">
        <v>11.077999999999999</v>
      </c>
      <c r="E103" s="18">
        <v>2.4329999999999998</v>
      </c>
      <c r="F103" s="19">
        <f t="shared" si="3"/>
        <v>16891.102554092591</v>
      </c>
      <c r="G103" s="20">
        <f t="shared" si="4"/>
        <v>3.5984680180881412E-2</v>
      </c>
      <c r="H103" s="20" cm="1">
        <f t="array" ref="H103">PRODUCT(G103:G138+1)^(1/3)-1</f>
        <v>3.2318468975035763E-2</v>
      </c>
      <c r="I103" s="21">
        <f t="shared" si="5"/>
        <v>11918.634575676293</v>
      </c>
      <c r="J103" s="26">
        <v>63.93</v>
      </c>
    </row>
    <row r="104" spans="1:10" ht="14.4" x14ac:dyDescent="0.3">
      <c r="A104" s="17">
        <v>42947</v>
      </c>
      <c r="B104" s="18">
        <v>352174.91353704006</v>
      </c>
      <c r="C104" s="18">
        <v>21.6</v>
      </c>
      <c r="D104" s="18">
        <v>10.805999999999999</v>
      </c>
      <c r="E104" s="18">
        <v>2.4060000000000001</v>
      </c>
      <c r="F104" s="19">
        <f t="shared" si="3"/>
        <v>16304.394145233335</v>
      </c>
      <c r="G104" s="20">
        <f t="shared" si="4"/>
        <v>1.0258675739709844E-2</v>
      </c>
      <c r="H104" s="20" cm="1">
        <f t="array" ref="H104">PRODUCT(G104:G139+1)^(1/3)-1</f>
        <v>2.3495657476237941E-2</v>
      </c>
      <c r="I104" s="21">
        <f t="shared" si="5"/>
        <v>11851.732887159169</v>
      </c>
      <c r="J104" s="26">
        <v>64.17</v>
      </c>
    </row>
    <row r="105" spans="1:10" ht="14.4" x14ac:dyDescent="0.3">
      <c r="A105" s="17">
        <v>42916</v>
      </c>
      <c r="B105" s="18">
        <v>346355.45445294003</v>
      </c>
      <c r="C105" s="18">
        <v>21.460999999999999</v>
      </c>
      <c r="D105" s="18">
        <v>10.808999999999999</v>
      </c>
      <c r="E105" s="18">
        <v>2.419</v>
      </c>
      <c r="F105" s="19">
        <f t="shared" si="3"/>
        <v>16138.831110057316</v>
      </c>
      <c r="G105" s="20">
        <f t="shared" si="4"/>
        <v>1.6851324563960546E-2</v>
      </c>
      <c r="H105" s="20" cm="1">
        <f t="array" ref="H105">PRODUCT(G105:G140+1)^(1/3)-1</f>
        <v>2.0594806809456356E-2</v>
      </c>
      <c r="I105" s="21">
        <f t="shared" si="5"/>
        <v>11788.600538000193</v>
      </c>
      <c r="J105" s="26">
        <v>64.62</v>
      </c>
    </row>
    <row r="106" spans="1:10" ht="14.4" x14ac:dyDescent="0.3">
      <c r="A106" s="17">
        <v>42886</v>
      </c>
      <c r="B106" s="18">
        <v>344440.63186981005</v>
      </c>
      <c r="C106" s="18">
        <v>21.702000000000002</v>
      </c>
      <c r="D106" s="18">
        <v>10.691000000000001</v>
      </c>
      <c r="E106" s="18">
        <v>2.411</v>
      </c>
      <c r="F106" s="19">
        <f t="shared" si="3"/>
        <v>15871.377378573865</v>
      </c>
      <c r="G106" s="20">
        <f t="shared" si="4"/>
        <v>5.7319723500721009E-2</v>
      </c>
      <c r="H106" s="20" cm="1">
        <f t="array" ref="H106">PRODUCT(G106:G141+1)^(1/3)-1</f>
        <v>2.0838177092430854E-2</v>
      </c>
      <c r="I106" s="21">
        <f t="shared" si="5"/>
        <v>11726.851768195938</v>
      </c>
      <c r="J106" s="26">
        <v>64.510000000000005</v>
      </c>
    </row>
    <row r="107" spans="1:10" ht="14.4" x14ac:dyDescent="0.3">
      <c r="A107" s="17">
        <v>42855</v>
      </c>
      <c r="B107" s="18">
        <v>336050.21969864995</v>
      </c>
      <c r="C107" s="18">
        <v>22.387</v>
      </c>
      <c r="D107" s="18">
        <v>10.422000000000001</v>
      </c>
      <c r="E107" s="18">
        <v>2.4079999999999999</v>
      </c>
      <c r="F107" s="19">
        <f t="shared" si="3"/>
        <v>15010.953665013174</v>
      </c>
      <c r="G107" s="20">
        <f t="shared" si="4"/>
        <v>-7.5220749118267705E-3</v>
      </c>
      <c r="H107" s="20" cm="1">
        <f t="array" ref="H107">PRODUCT(G107:G142+1)^(1/3)-1</f>
        <v>-2.8549623328306684E-3</v>
      </c>
      <c r="I107" s="21">
        <f t="shared" si="5"/>
        <v>11665.670425528115</v>
      </c>
      <c r="J107" s="26">
        <v>64.27</v>
      </c>
    </row>
    <row r="108" spans="1:10" ht="14.4" x14ac:dyDescent="0.3">
      <c r="A108" s="17">
        <v>42825</v>
      </c>
      <c r="B108" s="18">
        <v>334135.37972445</v>
      </c>
      <c r="C108" s="18">
        <v>22.091999999999999</v>
      </c>
      <c r="D108" s="18">
        <v>10.468999999999999</v>
      </c>
      <c r="E108" s="18">
        <v>2.4260000000000002</v>
      </c>
      <c r="F108" s="19">
        <f t="shared" si="3"/>
        <v>15124.722964170289</v>
      </c>
      <c r="G108" s="20">
        <f t="shared" si="4"/>
        <v>2.8580729626850321E-3</v>
      </c>
      <c r="H108" s="20" cm="1">
        <f t="array" ref="H108">PRODUCT(G108:G143+1)^(1/3)-1</f>
        <v>2.2522403820259829E-3</v>
      </c>
      <c r="I108" s="21">
        <f t="shared" si="5"/>
        <v>11612.875802132732</v>
      </c>
      <c r="J108" s="26">
        <v>64.849999999999994</v>
      </c>
    </row>
    <row r="109" spans="1:10" ht="14.4" x14ac:dyDescent="0.3">
      <c r="A109" s="17">
        <v>42794</v>
      </c>
      <c r="B109" s="18">
        <v>340045.2545251</v>
      </c>
      <c r="C109" s="18">
        <v>22.547000000000001</v>
      </c>
      <c r="D109" s="18">
        <v>10.212</v>
      </c>
      <c r="E109" s="18">
        <v>2.4289999999999998</v>
      </c>
      <c r="F109" s="19">
        <f t="shared" si="3"/>
        <v>15081.618597822326</v>
      </c>
      <c r="G109" s="20">
        <f t="shared" si="4"/>
        <v>-4.6938214636094155E-3</v>
      </c>
      <c r="H109" s="20" cm="1">
        <f t="array" ref="H109">PRODUCT(G109:G144+1)^(1/3)-1</f>
        <v>-2.1460896935643348E-4</v>
      </c>
      <c r="I109" s="21">
        <f t="shared" si="5"/>
        <v>11561.366937073712</v>
      </c>
      <c r="J109" s="26">
        <v>66.7</v>
      </c>
    </row>
    <row r="110" spans="1:10" ht="14.4" x14ac:dyDescent="0.3">
      <c r="A110" s="17">
        <v>42766</v>
      </c>
      <c r="B110" s="18">
        <v>334784.70091512997</v>
      </c>
      <c r="C110" s="18">
        <v>22.094000000000001</v>
      </c>
      <c r="D110" s="18">
        <v>10.24</v>
      </c>
      <c r="E110" s="18">
        <v>2.4609999999999999</v>
      </c>
      <c r="F110" s="19">
        <f t="shared" si="3"/>
        <v>15152.742867526476</v>
      </c>
      <c r="G110" s="20">
        <f t="shared" si="4"/>
        <v>9.5594834732786182E-3</v>
      </c>
      <c r="H110" s="20" cm="1">
        <f t="array" ref="H110">PRODUCT(G110:G145+1)^(1/3)-1</f>
        <v>2.0072143019693733E-3</v>
      </c>
      <c r="I110" s="21">
        <f t="shared" si="5"/>
        <v>11508.833504733921</v>
      </c>
      <c r="J110" s="26">
        <v>67.489999999999995</v>
      </c>
    </row>
    <row r="111" spans="1:10" ht="14.4" x14ac:dyDescent="0.3">
      <c r="A111" s="17">
        <v>42735</v>
      </c>
      <c r="B111" s="18">
        <v>329123.09877570003</v>
      </c>
      <c r="C111" s="18">
        <v>21.928000000000001</v>
      </c>
      <c r="D111" s="18">
        <v>10.215</v>
      </c>
      <c r="E111" s="18">
        <v>2.48</v>
      </c>
      <c r="F111" s="19">
        <f t="shared" si="3"/>
        <v>15009.262074776541</v>
      </c>
      <c r="G111" s="20">
        <f t="shared" si="4"/>
        <v>-3.3892706552921537E-3</v>
      </c>
      <c r="H111" s="20" cm="1">
        <f t="array" ref="H111">PRODUCT(G111:G146+1)^(1/3)-1</f>
        <v>2.1673132761770297E-3</v>
      </c>
      <c r="I111" s="21">
        <f t="shared" si="5"/>
        <v>11454.950235729621</v>
      </c>
      <c r="J111" s="26">
        <v>67.95</v>
      </c>
    </row>
    <row r="112" spans="1:10" ht="14.4" x14ac:dyDescent="0.3">
      <c r="A112" s="17">
        <v>42704</v>
      </c>
      <c r="B112" s="18">
        <v>324459.22225982998</v>
      </c>
      <c r="C112" s="18">
        <v>21.544</v>
      </c>
      <c r="D112" s="18">
        <v>9.93</v>
      </c>
      <c r="E112" s="18">
        <v>2.5920000000000001</v>
      </c>
      <c r="F112" s="19">
        <f t="shared" si="3"/>
        <v>15060.305526356757</v>
      </c>
      <c r="G112" s="20">
        <f t="shared" si="4"/>
        <v>4.3435169484067782E-2</v>
      </c>
      <c r="H112" s="20" cm="1">
        <f t="array" ref="H112">PRODUCT(G112:G147+1)^(1/3)-1</f>
        <v>-2.0238539098715869E-5</v>
      </c>
      <c r="I112" s="21">
        <f t="shared" si="5"/>
        <v>11402.533479759131</v>
      </c>
      <c r="J112" s="26">
        <v>68.59</v>
      </c>
    </row>
    <row r="113" spans="1:10" ht="14.4" x14ac:dyDescent="0.3">
      <c r="A113" s="17">
        <v>42674</v>
      </c>
      <c r="B113" s="18">
        <v>310952.92908352002</v>
      </c>
      <c r="C113" s="18">
        <v>21.544</v>
      </c>
      <c r="D113" s="18">
        <v>9.93</v>
      </c>
      <c r="E113" s="18">
        <v>2.5920000000000001</v>
      </c>
      <c r="F113" s="19">
        <f t="shared" si="3"/>
        <v>14433.388836034163</v>
      </c>
      <c r="G113" s="20">
        <f t="shared" si="4"/>
        <v>-1.9307178222757626E-2</v>
      </c>
      <c r="H113" s="20" cm="1">
        <f t="array" ref="H113">PRODUCT(G113:G148+1)^(1/3)-1</f>
        <v>-2.8853288216958761E-2</v>
      </c>
      <c r="I113" s="21">
        <f t="shared" si="5"/>
        <v>11350.315351053743</v>
      </c>
      <c r="J113" s="26">
        <v>66.680000000000007</v>
      </c>
    </row>
    <row r="114" spans="1:10" ht="14.4" x14ac:dyDescent="0.3">
      <c r="A114" s="17">
        <v>42643</v>
      </c>
      <c r="B114" s="18">
        <v>316471.32848264999</v>
      </c>
      <c r="C114" s="18">
        <v>21.503</v>
      </c>
      <c r="D114" s="18">
        <v>10.032</v>
      </c>
      <c r="E114" s="18">
        <v>2.5659999999999998</v>
      </c>
      <c r="F114" s="19">
        <f t="shared" si="3"/>
        <v>14717.543062951681</v>
      </c>
      <c r="G114" s="20">
        <f t="shared" si="4"/>
        <v>-1.0090371888870964E-2</v>
      </c>
      <c r="H114" s="20" cm="1">
        <f t="array" ref="H114">PRODUCT(G114:G149+1)^(1/3)-1</f>
        <v>-1.5071738596571294E-2</v>
      </c>
      <c r="I114" s="21">
        <f t="shared" si="5"/>
        <v>11301.658685803468</v>
      </c>
      <c r="J114" s="26">
        <v>66.55</v>
      </c>
    </row>
    <row r="115" spans="1:10" ht="14.4" x14ac:dyDescent="0.3">
      <c r="A115" s="17">
        <v>42613</v>
      </c>
      <c r="B115" s="18">
        <v>316738.54714535997</v>
      </c>
      <c r="C115" s="18">
        <v>21.303999999999998</v>
      </c>
      <c r="D115" s="18">
        <v>10.193</v>
      </c>
      <c r="E115" s="18">
        <v>2.5550000000000002</v>
      </c>
      <c r="F115" s="19">
        <f t="shared" si="3"/>
        <v>14867.562295595193</v>
      </c>
      <c r="G115" s="20">
        <f t="shared" si="4"/>
        <v>-9.5557122914500248E-3</v>
      </c>
      <c r="H115" s="20" cm="1">
        <f t="array" ref="H115">PRODUCT(G115:G150+1)^(1/3)-1</f>
        <v>-1.1684864257151206E-2</v>
      </c>
      <c r="I115" s="21">
        <f t="shared" si="5"/>
        <v>11251.72769576324</v>
      </c>
      <c r="J115" s="26">
        <v>66.959999999999994</v>
      </c>
    </row>
    <row r="116" spans="1:10" ht="14.4" x14ac:dyDescent="0.3">
      <c r="A116" s="17">
        <v>42582</v>
      </c>
      <c r="B116" s="18">
        <v>314915.83450988994</v>
      </c>
      <c r="C116" s="18">
        <v>20.978999999999999</v>
      </c>
      <c r="D116" s="18">
        <v>10.33</v>
      </c>
      <c r="E116" s="18">
        <v>2.57</v>
      </c>
      <c r="F116" s="19">
        <f t="shared" si="3"/>
        <v>15011.00312264121</v>
      </c>
      <c r="G116" s="20">
        <f t="shared" si="4"/>
        <v>-1.2477673639582298E-2</v>
      </c>
      <c r="H116" s="20" cm="1">
        <f t="array" ref="H116">PRODUCT(G116:G151+1)^(1/3)-1</f>
        <v>2.3517607007241148E-2</v>
      </c>
      <c r="I116" s="21">
        <f t="shared" si="5"/>
        <v>11199.207832496393</v>
      </c>
      <c r="J116" s="26">
        <v>66.63</v>
      </c>
    </row>
    <row r="117" spans="1:10" ht="14.4" x14ac:dyDescent="0.3">
      <c r="A117" s="17">
        <v>42551</v>
      </c>
      <c r="B117" s="18">
        <v>306050.33304427</v>
      </c>
      <c r="C117" s="18">
        <v>20.134</v>
      </c>
      <c r="D117" s="18">
        <v>10.353</v>
      </c>
      <c r="E117" s="18">
        <v>2.661</v>
      </c>
      <c r="F117" s="19">
        <f t="shared" si="3"/>
        <v>15200.672148816429</v>
      </c>
      <c r="G117" s="20">
        <f t="shared" si="4"/>
        <v>-2.29188262619483E-2</v>
      </c>
      <c r="H117" s="20" cm="1">
        <f t="array" ref="H117">PRODUCT(G117:G152+1)^(1/3)-1</f>
        <v>3.8470869247792194E-2</v>
      </c>
      <c r="I117" s="21">
        <f t="shared" si="5"/>
        <v>11144.052244917713</v>
      </c>
      <c r="J117" s="26">
        <v>67.489999999999995</v>
      </c>
    </row>
    <row r="118" spans="1:10" ht="14.4" x14ac:dyDescent="0.3">
      <c r="A118" s="17">
        <v>42521</v>
      </c>
      <c r="B118" s="18">
        <v>308188.63709759997</v>
      </c>
      <c r="C118" s="18">
        <v>19.809999999999999</v>
      </c>
      <c r="D118" s="18">
        <v>10.595000000000001</v>
      </c>
      <c r="E118" s="18">
        <v>2.65</v>
      </c>
      <c r="F118" s="19">
        <f t="shared" si="3"/>
        <v>15557.225497102474</v>
      </c>
      <c r="G118" s="20">
        <f t="shared" si="4"/>
        <v>1.7426027077769302E-2</v>
      </c>
      <c r="H118" s="20" cm="1">
        <f t="array" ref="H118">PRODUCT(G118:G153+1)^(1/3)-1</f>
        <v>6.1682652553042505E-2</v>
      </c>
      <c r="I118" s="21">
        <f t="shared" si="5"/>
        <v>11084.429443447423</v>
      </c>
      <c r="J118" s="26">
        <v>67.2</v>
      </c>
    </row>
    <row r="119" spans="1:10" ht="14.4" x14ac:dyDescent="0.3">
      <c r="A119" s="17">
        <v>42490</v>
      </c>
      <c r="B119" s="18">
        <v>302910.11719326</v>
      </c>
      <c r="C119" s="18">
        <v>19.809999999999999</v>
      </c>
      <c r="D119" s="18">
        <v>10.595000000000001</v>
      </c>
      <c r="E119" s="18">
        <v>2.65</v>
      </c>
      <c r="F119" s="19">
        <f t="shared" si="3"/>
        <v>15290.768157155982</v>
      </c>
      <c r="G119" s="20">
        <f t="shared" si="4"/>
        <v>-8.303041111846321E-3</v>
      </c>
      <c r="H119" s="20" cm="1">
        <f t="array" ref="H119">PRODUCT(G119:G154+1)^(1/3)-1</f>
        <v>7.2531572687871915E-2</v>
      </c>
      <c r="I119" s="21">
        <f t="shared" si="5"/>
        <v>11022.861375748309</v>
      </c>
      <c r="J119" s="26">
        <v>66.42</v>
      </c>
    </row>
    <row r="120" spans="1:10" ht="14.4" x14ac:dyDescent="0.3">
      <c r="A120" s="17">
        <v>42460</v>
      </c>
      <c r="B120" s="18">
        <v>297428.47863749997</v>
      </c>
      <c r="C120" s="18">
        <v>19.29</v>
      </c>
      <c r="D120" s="18">
        <v>10.843999999999999</v>
      </c>
      <c r="E120" s="18">
        <v>2.66</v>
      </c>
      <c r="F120" s="19">
        <f t="shared" si="3"/>
        <v>15418.791012830481</v>
      </c>
      <c r="G120" s="20">
        <f t="shared" si="4"/>
        <v>-5.258593580816695E-2</v>
      </c>
      <c r="H120" s="20" cm="1">
        <f t="array" ref="H120">PRODUCT(G120:G155+1)^(1/3)-1</f>
        <v>5.689078143175208E-2</v>
      </c>
      <c r="I120" s="21">
        <f t="shared" si="5"/>
        <v>10960.211656175863</v>
      </c>
      <c r="J120" s="26">
        <v>66.25</v>
      </c>
    </row>
    <row r="121" spans="1:10" ht="14.4" x14ac:dyDescent="0.3">
      <c r="A121" s="17">
        <v>42429</v>
      </c>
      <c r="B121" s="18">
        <v>286726.01593240001</v>
      </c>
      <c r="C121" s="18">
        <v>17.617999999999999</v>
      </c>
      <c r="D121" s="18">
        <v>11.212</v>
      </c>
      <c r="E121" s="18">
        <v>2.786</v>
      </c>
      <c r="F121" s="19">
        <f t="shared" si="3"/>
        <v>16274.606421409924</v>
      </c>
      <c r="G121" s="20">
        <f t="shared" si="4"/>
        <v>1.6291744447982648E-2</v>
      </c>
      <c r="H121" s="20" cm="1">
        <f t="array" ref="H121">PRODUCT(G121:G156+1)^(1/3)-1</f>
        <v>8.3898942862676407E-2</v>
      </c>
      <c r="I121" s="21">
        <f t="shared" si="5"/>
        <v>10894.182707937289</v>
      </c>
      <c r="J121" s="26">
        <v>68.2</v>
      </c>
    </row>
    <row r="122" spans="1:10" ht="14.4" x14ac:dyDescent="0.3">
      <c r="A122" s="17">
        <v>42400</v>
      </c>
      <c r="B122" s="18">
        <v>287478.21289824997</v>
      </c>
      <c r="C122" s="18">
        <v>17.952000000000002</v>
      </c>
      <c r="D122" s="18">
        <v>11.3</v>
      </c>
      <c r="E122" s="18">
        <v>2.71</v>
      </c>
      <c r="F122" s="19">
        <f t="shared" si="3"/>
        <v>16013.715067861516</v>
      </c>
      <c r="G122" s="20">
        <f t="shared" si="4"/>
        <v>2.1129775760742042E-2</v>
      </c>
      <c r="H122" s="20" cm="1">
        <f t="array" ref="H122">PRODUCT(G122:G157+1)^(1/3)-1</f>
        <v>9.0237600547265595E-2</v>
      </c>
      <c r="I122" s="21">
        <f t="shared" si="5"/>
        <v>10818.05643824953</v>
      </c>
      <c r="J122" s="26">
        <v>67.87</v>
      </c>
    </row>
    <row r="123" spans="1:10" ht="14.4" x14ac:dyDescent="0.3">
      <c r="A123" s="17">
        <v>42369</v>
      </c>
      <c r="B123" s="18">
        <v>298246.94215160003</v>
      </c>
      <c r="C123" s="18">
        <v>19.018000000000001</v>
      </c>
      <c r="D123" s="18">
        <v>11.298</v>
      </c>
      <c r="E123" s="18">
        <v>2.5710000000000002</v>
      </c>
      <c r="F123" s="19">
        <f t="shared" si="3"/>
        <v>15682.350518014513</v>
      </c>
      <c r="G123" s="20">
        <f t="shared" si="4"/>
        <v>-4.6508841580097382E-3</v>
      </c>
      <c r="H123" s="20" cm="1">
        <f t="array" ref="H123">PRODUCT(G123:G158+1)^(1/3)-1</f>
        <v>7.2321991738973912E-2</v>
      </c>
      <c r="I123" s="21">
        <f t="shared" si="5"/>
        <v>10743.669287896742</v>
      </c>
      <c r="J123" s="26">
        <v>66.2</v>
      </c>
    </row>
    <row r="124" spans="1:10" ht="14.4" x14ac:dyDescent="0.3">
      <c r="A124" s="17">
        <v>42338</v>
      </c>
      <c r="B124" s="18">
        <v>304729.60345409997</v>
      </c>
      <c r="C124" s="18">
        <v>19.341000000000001</v>
      </c>
      <c r="D124" s="18">
        <v>11.388</v>
      </c>
      <c r="E124" s="18">
        <v>2.5009999999999999</v>
      </c>
      <c r="F124" s="19">
        <f t="shared" si="3"/>
        <v>15755.62811923375</v>
      </c>
      <c r="G124" s="20">
        <f t="shared" si="4"/>
        <v>-7.2907800259697231E-3</v>
      </c>
      <c r="H124" s="20" cm="1">
        <f t="array" ref="H124">PRODUCT(G124:G159+1)^(1/3)-1</f>
        <v>8.1377162029185657E-2</v>
      </c>
      <c r="I124" s="21">
        <f t="shared" si="5"/>
        <v>10702.167764954576</v>
      </c>
      <c r="J124" s="26">
        <v>66.45</v>
      </c>
    </row>
    <row r="125" spans="1:10" ht="14.4" x14ac:dyDescent="0.3">
      <c r="A125" s="17">
        <v>42308</v>
      </c>
      <c r="B125" s="18">
        <v>301460.28109274001</v>
      </c>
      <c r="C125" s="18">
        <v>18.994</v>
      </c>
      <c r="D125" s="18">
        <v>11.519</v>
      </c>
      <c r="E125" s="18">
        <v>2.5</v>
      </c>
      <c r="F125" s="19">
        <f t="shared" si="3"/>
        <v>15871.342586750554</v>
      </c>
      <c r="G125" s="20">
        <f t="shared" si="4"/>
        <v>3.4459433998283995E-3</v>
      </c>
      <c r="H125" s="20" cm="1">
        <f t="array" ref="H125">PRODUCT(G125:G160+1)^(1/3)-1</f>
        <v>8.997313153330122E-2</v>
      </c>
      <c r="I125" s="21">
        <f t="shared" si="5"/>
        <v>10659.341829748819</v>
      </c>
      <c r="J125" s="26">
        <v>65.41</v>
      </c>
    </row>
    <row r="126" spans="1:10" ht="14.4" x14ac:dyDescent="0.3">
      <c r="A126" s="17">
        <v>42277</v>
      </c>
      <c r="B126" s="18">
        <v>279752.42530827998</v>
      </c>
      <c r="C126" s="18">
        <v>17.687000000000001</v>
      </c>
      <c r="D126" s="18">
        <v>11.465999999999999</v>
      </c>
      <c r="E126" s="18">
        <v>2.6859999999999999</v>
      </c>
      <c r="F126" s="19">
        <f t="shared" si="3"/>
        <v>15816.838655977836</v>
      </c>
      <c r="G126" s="20">
        <f t="shared" si="4"/>
        <v>-1.7022253604486837E-2</v>
      </c>
      <c r="H126" s="20" cm="1">
        <f t="array" ref="H126">PRODUCT(G126:G161+1)^(1/3)-1</f>
        <v>9.6055088777695419E-2</v>
      </c>
      <c r="I126" s="21">
        <f t="shared" si="5"/>
        <v>10614.794814731709</v>
      </c>
      <c r="J126" s="26">
        <v>65.510000000000005</v>
      </c>
    </row>
    <row r="127" spans="1:10" ht="14.4" x14ac:dyDescent="0.3">
      <c r="A127" s="17">
        <v>42247</v>
      </c>
      <c r="B127" s="18">
        <v>294412.25699120003</v>
      </c>
      <c r="C127" s="18">
        <v>18.297000000000001</v>
      </c>
      <c r="D127" s="18">
        <v>11.518000000000001</v>
      </c>
      <c r="E127" s="18">
        <v>2.5760000000000001</v>
      </c>
      <c r="F127" s="19">
        <f t="shared" si="3"/>
        <v>16090.739301043888</v>
      </c>
      <c r="G127" s="20">
        <f t="shared" si="4"/>
        <v>3.9010872789961404E-2</v>
      </c>
      <c r="H127" s="20" cm="1">
        <f t="array" ref="H127">PRODUCT(G127:G162+1)^(1/3)-1</f>
        <v>8.7603769403939769E-2</v>
      </c>
      <c r="I127" s="21">
        <f t="shared" si="5"/>
        <v>10569.949609203724</v>
      </c>
      <c r="J127" s="26">
        <v>66.400000000000006</v>
      </c>
    </row>
    <row r="128" spans="1:10" ht="14.4" x14ac:dyDescent="0.3">
      <c r="A128" s="17">
        <v>42216</v>
      </c>
      <c r="B128" s="18">
        <v>303785.02323245996</v>
      </c>
      <c r="C128" s="18">
        <v>19.616</v>
      </c>
      <c r="D128" s="18">
        <v>11.662000000000001</v>
      </c>
      <c r="E128" s="18">
        <v>2.4060000000000001</v>
      </c>
      <c r="F128" s="19">
        <f t="shared" si="3"/>
        <v>15486.593761850529</v>
      </c>
      <c r="G128" s="20">
        <f t="shared" si="4"/>
        <v>2.7339462038582507E-3</v>
      </c>
      <c r="H128" s="20" cm="1">
        <f t="array" ref="H128">PRODUCT(G128:G163+1)^(1/3)-1</f>
        <v>7.0341247269566365E-2</v>
      </c>
      <c r="I128" s="21">
        <f t="shared" si="5"/>
        <v>10521.942742318159</v>
      </c>
      <c r="J128" s="26">
        <v>63.98</v>
      </c>
    </row>
    <row r="129" spans="1:10" ht="14.4" x14ac:dyDescent="0.3">
      <c r="A129" s="17">
        <v>42185</v>
      </c>
      <c r="B129" s="18">
        <v>296609.11981917999</v>
      </c>
      <c r="C129" s="18">
        <v>19.204999999999998</v>
      </c>
      <c r="D129" s="18">
        <v>11.670999999999999</v>
      </c>
      <c r="E129" s="18">
        <v>2.4569999999999999</v>
      </c>
      <c r="F129" s="19">
        <f t="shared" si="3"/>
        <v>15444.36968597657</v>
      </c>
      <c r="G129" s="20">
        <f t="shared" si="4"/>
        <v>4.3399328039983587E-3</v>
      </c>
      <c r="H129" s="20" cm="1">
        <f t="array" ref="H129">PRODUCT(G129:G164+1)^(1/3)-1</f>
        <v>6.9164722646806842E-2</v>
      </c>
      <c r="I129" s="21">
        <f t="shared" si="5"/>
        <v>10478.393171971382</v>
      </c>
      <c r="J129" s="26">
        <v>63.59</v>
      </c>
    </row>
    <row r="130" spans="1:10" ht="14.4" x14ac:dyDescent="0.3">
      <c r="A130" s="17">
        <v>42155</v>
      </c>
      <c r="B130" s="18">
        <v>304338.71090019995</v>
      </c>
      <c r="C130" s="18">
        <v>19.791</v>
      </c>
      <c r="D130" s="18">
        <v>11.673</v>
      </c>
      <c r="E130" s="18">
        <v>2.38</v>
      </c>
      <c r="F130" s="19">
        <f t="shared" si="3"/>
        <v>15377.631797291695</v>
      </c>
      <c r="G130" s="20">
        <f t="shared" si="4"/>
        <v>-1.4399647679973704E-2</v>
      </c>
      <c r="H130" s="20" cm="1">
        <f t="array" ref="H130">PRODUCT(G130:G165+1)^(1/3)-1</f>
        <v>7.1923580864681647E-2</v>
      </c>
      <c r="I130" s="21">
        <f t="shared" si="5"/>
        <v>10434.446477157177</v>
      </c>
      <c r="J130" s="26">
        <v>63.73</v>
      </c>
    </row>
    <row r="131" spans="1:10" ht="14.4" x14ac:dyDescent="0.3">
      <c r="A131" s="17">
        <v>42124</v>
      </c>
      <c r="B131" s="18">
        <v>302294.55110400001</v>
      </c>
      <c r="C131" s="18">
        <v>19.375</v>
      </c>
      <c r="D131" s="18">
        <v>11.862</v>
      </c>
      <c r="E131" s="18">
        <v>2.3740000000000001</v>
      </c>
      <c r="F131" s="19">
        <f t="shared" ref="F131:F194" si="6">B131/C131</f>
        <v>15602.299411819355</v>
      </c>
      <c r="G131" s="20">
        <f t="shared" ref="G131:G194" si="7">F131/F132-1</f>
        <v>3.8495978226872118E-2</v>
      </c>
      <c r="H131" s="20" cm="1">
        <f t="array" ref="H131">PRODUCT(G131:G166+1)^(1/3)-1</f>
        <v>9.9755950437953489E-2</v>
      </c>
      <c r="I131" s="21">
        <f t="shared" ref="I131:I194" si="8">AVERAGE(F131:F250)</f>
        <v>10390.310893941691</v>
      </c>
      <c r="J131" s="26">
        <v>63.52</v>
      </c>
    </row>
    <row r="132" spans="1:10" ht="14.4" x14ac:dyDescent="0.3">
      <c r="A132" s="17">
        <v>42094</v>
      </c>
      <c r="B132" s="18">
        <v>289601.43300288002</v>
      </c>
      <c r="C132" s="18">
        <v>19.276</v>
      </c>
      <c r="D132" s="18">
        <v>11.82</v>
      </c>
      <c r="E132" s="18">
        <v>2.3650000000000002</v>
      </c>
      <c r="F132" s="19">
        <f t="shared" si="6"/>
        <v>15023.938213471676</v>
      </c>
      <c r="G132" s="20">
        <f t="shared" si="7"/>
        <v>-3.0408240266695419E-2</v>
      </c>
      <c r="H132" s="20" cm="1">
        <f t="array" ref="H132">PRODUCT(G132:G167+1)^(1/3)-1</f>
        <v>9.9675008345465166E-2</v>
      </c>
      <c r="I132" s="21">
        <f t="shared" si="8"/>
        <v>10343.356042429279</v>
      </c>
      <c r="J132" s="26">
        <v>62.28</v>
      </c>
    </row>
    <row r="133" spans="1:10" ht="14.4" x14ac:dyDescent="0.3">
      <c r="A133" s="17">
        <v>42063</v>
      </c>
      <c r="B133" s="18">
        <v>291230.73281880002</v>
      </c>
      <c r="C133" s="18">
        <v>18.795000000000002</v>
      </c>
      <c r="D133" s="18">
        <v>12.207000000000001</v>
      </c>
      <c r="E133" s="18">
        <v>2.3340000000000001</v>
      </c>
      <c r="F133" s="19">
        <f t="shared" si="6"/>
        <v>15495.117468411812</v>
      </c>
      <c r="G133" s="20">
        <f t="shared" si="7"/>
        <v>1.3187212188769948E-3</v>
      </c>
      <c r="H133" s="20" cm="1">
        <f t="array" ref="H133">PRODUCT(G133:G168+1)^(1/3)-1</f>
        <v>0.12135072673400127</v>
      </c>
      <c r="I133" s="21">
        <f t="shared" si="8"/>
        <v>10300.805295419803</v>
      </c>
      <c r="J133" s="26">
        <v>61.65</v>
      </c>
    </row>
    <row r="134" spans="1:10" ht="14.4" x14ac:dyDescent="0.3">
      <c r="A134" s="17">
        <v>42035</v>
      </c>
      <c r="B134" s="18">
        <v>276718.77564902999</v>
      </c>
      <c r="C134" s="18">
        <v>17.882000000000001</v>
      </c>
      <c r="D134" s="18">
        <v>12.182</v>
      </c>
      <c r="E134" s="18">
        <v>2.4380000000000002</v>
      </c>
      <c r="F134" s="19">
        <f t="shared" si="6"/>
        <v>15474.710639136001</v>
      </c>
      <c r="G134" s="20">
        <f t="shared" si="7"/>
        <v>-2.5095853459520812E-2</v>
      </c>
      <c r="H134" s="20" cm="1">
        <f t="array" ref="H134">PRODUCT(G134:G169+1)^(1/3)-1</f>
        <v>0.115133689997021</v>
      </c>
      <c r="I134" s="21">
        <f t="shared" si="8"/>
        <v>10253.15105530061</v>
      </c>
      <c r="J134" s="26">
        <v>62.01</v>
      </c>
    </row>
    <row r="135" spans="1:10" ht="14.4" x14ac:dyDescent="0.3">
      <c r="A135" s="17">
        <v>42004</v>
      </c>
      <c r="B135" s="18">
        <v>286461.08840085001</v>
      </c>
      <c r="C135" s="18">
        <v>18.047000000000001</v>
      </c>
      <c r="D135" s="18">
        <v>12.145</v>
      </c>
      <c r="E135" s="22">
        <v>2.5044015432383659</v>
      </c>
      <c r="F135" s="19">
        <f t="shared" si="6"/>
        <v>15873.058591502742</v>
      </c>
      <c r="G135" s="20">
        <f t="shared" si="7"/>
        <v>7.9974889223972667E-3</v>
      </c>
      <c r="H135" s="20" cm="1">
        <f t="array" ref="H135">PRODUCT(G135:G170+1)^(1/3)-1</f>
        <v>0.10149632398468489</v>
      </c>
      <c r="I135" s="21">
        <f t="shared" si="8"/>
        <v>10204.803281376209</v>
      </c>
      <c r="J135" s="26">
        <v>63.03</v>
      </c>
    </row>
    <row r="136" spans="1:10" ht="14.4" x14ac:dyDescent="0.3">
      <c r="A136" s="17">
        <v>41973</v>
      </c>
      <c r="B136" s="18">
        <v>287321.97276620002</v>
      </c>
      <c r="C136" s="18">
        <v>18.245999999999999</v>
      </c>
      <c r="D136" s="18">
        <v>12.143000000000001</v>
      </c>
      <c r="E136" s="22">
        <v>2.5041205438647518</v>
      </c>
      <c r="F136" s="19">
        <f t="shared" si="6"/>
        <v>15747.121164430562</v>
      </c>
      <c r="G136" s="20">
        <f t="shared" si="7"/>
        <v>2.6249440480976105E-2</v>
      </c>
      <c r="H136" s="20" cm="1">
        <f t="array" ref="H136">PRODUCT(G136:G171+1)^(1/3)-1</f>
        <v>9.9026956641279806E-2</v>
      </c>
      <c r="I136" s="21">
        <f t="shared" si="8"/>
        <v>10151.828932683438</v>
      </c>
      <c r="J136" s="26">
        <v>62.2</v>
      </c>
    </row>
    <row r="137" spans="1:10" ht="14.4" x14ac:dyDescent="0.3">
      <c r="A137" s="17">
        <v>41943</v>
      </c>
      <c r="B137" s="18">
        <v>278008.76668291999</v>
      </c>
      <c r="C137" s="18">
        <v>18.117999999999999</v>
      </c>
      <c r="D137" s="18">
        <v>12.007</v>
      </c>
      <c r="E137" s="22">
        <v>2.5208509249952771</v>
      </c>
      <c r="F137" s="19">
        <f t="shared" si="6"/>
        <v>15344.340803781875</v>
      </c>
      <c r="G137" s="20">
        <f t="shared" si="7"/>
        <v>-1.2108743295587976E-2</v>
      </c>
      <c r="H137" s="20" cm="1">
        <f t="array" ref="H137">PRODUCT(G137:G172+1)^(1/3)-1</f>
        <v>0.11368825152176143</v>
      </c>
      <c r="I137" s="21">
        <f t="shared" si="8"/>
        <v>10099.043156912239</v>
      </c>
      <c r="J137" s="26">
        <v>61.39</v>
      </c>
    </row>
    <row r="138" spans="1:10" ht="14.4" x14ac:dyDescent="0.3">
      <c r="A138" s="17">
        <v>41912</v>
      </c>
      <c r="B138" s="18">
        <v>278651.59464834997</v>
      </c>
      <c r="C138" s="18">
        <v>17.940000000000001</v>
      </c>
      <c r="D138" s="18">
        <v>11.997999999999999</v>
      </c>
      <c r="E138" s="22">
        <v>2.5208639570554192</v>
      </c>
      <c r="F138" s="19">
        <f t="shared" si="6"/>
        <v>15532.418876719617</v>
      </c>
      <c r="G138" s="20">
        <f t="shared" si="7"/>
        <v>1.1631134879869442E-2</v>
      </c>
      <c r="H138" s="20" cm="1">
        <f t="array" ref="H138">PRODUCT(G138:G173+1)^(1/3)-1</f>
        <v>0.12166037668923235</v>
      </c>
      <c r="I138" s="21">
        <f t="shared" si="8"/>
        <v>10049.087941227766</v>
      </c>
      <c r="J138" s="26">
        <v>61.93</v>
      </c>
    </row>
    <row r="139" spans="1:10" ht="14.4" x14ac:dyDescent="0.3">
      <c r="A139" s="17">
        <v>41882</v>
      </c>
      <c r="B139" s="18">
        <v>279854.37488495995</v>
      </c>
      <c r="C139" s="18">
        <v>18.227</v>
      </c>
      <c r="D139" s="18">
        <v>12.004</v>
      </c>
      <c r="E139" s="22">
        <v>2.5263519638737408</v>
      </c>
      <c r="F139" s="19">
        <f t="shared" si="6"/>
        <v>15353.836335379379</v>
      </c>
      <c r="G139" s="20">
        <f t="shared" si="7"/>
        <v>9.64861650453952E-3</v>
      </c>
      <c r="H139" s="20" cm="1">
        <f t="array" ref="H139">PRODUCT(G139:G174+1)^(1/3)-1</f>
        <v>0.1358847237623233</v>
      </c>
      <c r="I139" s="21">
        <f t="shared" si="8"/>
        <v>9996.3636053095761</v>
      </c>
      <c r="J139" s="26">
        <v>60.51</v>
      </c>
    </row>
    <row r="140" spans="1:10" ht="14.4" x14ac:dyDescent="0.3">
      <c r="A140" s="17">
        <v>41851</v>
      </c>
      <c r="B140" s="18">
        <v>274001.685902</v>
      </c>
      <c r="C140" s="18">
        <v>18.018000000000001</v>
      </c>
      <c r="D140" s="18">
        <v>11.955</v>
      </c>
      <c r="E140" s="22">
        <v>2.5422883810637842</v>
      </c>
      <c r="F140" s="19">
        <f t="shared" si="6"/>
        <v>15207.108774669774</v>
      </c>
      <c r="G140" s="20">
        <f t="shared" si="7"/>
        <v>1.6929980770139519E-3</v>
      </c>
      <c r="H140" s="20" cm="1">
        <f t="array" ref="H140">PRODUCT(G140:G175+1)^(1/3)-1</f>
        <v>0.15409553686041111</v>
      </c>
      <c r="I140" s="21">
        <f t="shared" si="8"/>
        <v>9944.349306959386</v>
      </c>
      <c r="J140" s="26">
        <v>60.55</v>
      </c>
    </row>
    <row r="141" spans="1:10" ht="14.4" x14ac:dyDescent="0.3">
      <c r="A141" s="17">
        <v>41820</v>
      </c>
      <c r="B141" s="18">
        <v>276149.78755194996</v>
      </c>
      <c r="C141" s="18">
        <v>18.190000000000001</v>
      </c>
      <c r="D141" s="18">
        <v>11.949</v>
      </c>
      <c r="E141" s="22">
        <v>2.5467484156729725</v>
      </c>
      <c r="F141" s="19">
        <f t="shared" si="6"/>
        <v>15181.406682350189</v>
      </c>
      <c r="G141" s="20">
        <f t="shared" si="7"/>
        <v>1.7578930885746136E-2</v>
      </c>
      <c r="H141" s="20" cm="1">
        <f t="array" ref="H141">PRODUCT(G141:G176+1)^(1/3)-1</f>
        <v>0.14359614185118552</v>
      </c>
      <c r="I141" s="21">
        <f t="shared" si="8"/>
        <v>9892.7536259034005</v>
      </c>
      <c r="J141" s="26">
        <v>60.05</v>
      </c>
    </row>
    <row r="142" spans="1:10" ht="14.4" x14ac:dyDescent="0.3">
      <c r="A142" s="17">
        <v>41790</v>
      </c>
      <c r="B142" s="18">
        <v>267365.98105228</v>
      </c>
      <c r="C142" s="18">
        <v>17.920999999999999</v>
      </c>
      <c r="D142" s="18">
        <v>11.984999999999999</v>
      </c>
      <c r="E142" s="22">
        <v>2.5524869766432312</v>
      </c>
      <c r="F142" s="19">
        <f t="shared" si="6"/>
        <v>14919.144079698677</v>
      </c>
      <c r="G142" s="20">
        <f t="shared" si="7"/>
        <v>-1.4604395644217116E-2</v>
      </c>
      <c r="H142" s="20" cm="1">
        <f t="array" ref="H142">PRODUCT(G142:G177+1)^(1/3)-1</f>
        <v>0.13844013335838534</v>
      </c>
      <c r="I142" s="21">
        <f t="shared" si="8"/>
        <v>9840.3907243544218</v>
      </c>
      <c r="J142" s="26">
        <v>59.18</v>
      </c>
    </row>
    <row r="143" spans="1:10" ht="14.4" x14ac:dyDescent="0.3">
      <c r="A143" s="17">
        <v>41759</v>
      </c>
      <c r="B143" s="18">
        <v>267346.68289042002</v>
      </c>
      <c r="C143" s="18">
        <v>17.658000000000001</v>
      </c>
      <c r="D143" s="18">
        <v>11.95</v>
      </c>
      <c r="E143" s="22">
        <v>2.5359900309541494</v>
      </c>
      <c r="F143" s="19">
        <f t="shared" si="6"/>
        <v>15140.258403580247</v>
      </c>
      <c r="G143" s="20">
        <f t="shared" si="7"/>
        <v>7.8060614793973304E-3</v>
      </c>
      <c r="H143" s="20" cm="1">
        <f t="array" ref="H143">PRODUCT(G143:G178+1)^(1/3)-1</f>
        <v>0.16042638870169523</v>
      </c>
      <c r="I143" s="21">
        <f t="shared" si="8"/>
        <v>9789.6031908009791</v>
      </c>
      <c r="J143" s="26">
        <v>60.34</v>
      </c>
    </row>
    <row r="144" spans="1:10" ht="14.4" x14ac:dyDescent="0.3">
      <c r="A144" s="17">
        <v>41729</v>
      </c>
      <c r="B144" s="18">
        <v>263187.72739168</v>
      </c>
      <c r="C144" s="18">
        <v>17.518999999999998</v>
      </c>
      <c r="D144" s="18">
        <v>12.032999999999999</v>
      </c>
      <c r="E144" s="22">
        <v>2.5980470442708015</v>
      </c>
      <c r="F144" s="19">
        <f t="shared" si="6"/>
        <v>15022.988035371884</v>
      </c>
      <c r="G144" s="20">
        <f t="shared" si="7"/>
        <v>-4.5287374396176805E-3</v>
      </c>
      <c r="H144" s="20" cm="1">
        <f t="array" ref="H144">PRODUCT(G144:G179+1)^(1/3)-1</f>
        <v>0.16586618974746425</v>
      </c>
      <c r="I144" s="21">
        <f t="shared" si="8"/>
        <v>9735.5561684496734</v>
      </c>
      <c r="J144" s="26">
        <v>60.01</v>
      </c>
    </row>
    <row r="145" spans="1:10" ht="14.4" x14ac:dyDescent="0.3">
      <c r="A145" s="17">
        <v>41698</v>
      </c>
      <c r="B145" s="18">
        <v>270602.68698205001</v>
      </c>
      <c r="C145" s="18">
        <v>17.931000000000001</v>
      </c>
      <c r="D145" s="18">
        <v>11.9</v>
      </c>
      <c r="E145" s="22">
        <v>2.6053109288209919</v>
      </c>
      <c r="F145" s="19">
        <f t="shared" si="6"/>
        <v>15091.332718869555</v>
      </c>
      <c r="G145" s="20">
        <f t="shared" si="7"/>
        <v>1.9565431210402107E-3</v>
      </c>
      <c r="H145" s="20" cm="1">
        <f t="array" ref="H145">PRODUCT(G145:G180+1)^(1/3)-1</f>
        <v>0.19255377085596792</v>
      </c>
      <c r="I145" s="21">
        <f t="shared" si="8"/>
        <v>9681.6027820525087</v>
      </c>
      <c r="J145" s="26">
        <v>61.79</v>
      </c>
    </row>
    <row r="146" spans="1:10" ht="14.4" x14ac:dyDescent="0.3">
      <c r="A146" s="17">
        <v>41670</v>
      </c>
      <c r="B146" s="18">
        <v>261413.70348539998</v>
      </c>
      <c r="C146" s="18">
        <v>17.356000000000002</v>
      </c>
      <c r="D146" s="18">
        <v>11.996</v>
      </c>
      <c r="E146" s="22">
        <v>2.6065283613827983</v>
      </c>
      <c r="F146" s="19">
        <f t="shared" si="6"/>
        <v>15061.863533383266</v>
      </c>
      <c r="G146" s="20">
        <f t="shared" si="7"/>
        <v>1.0043477784831722E-2</v>
      </c>
      <c r="H146" s="20" cm="1">
        <f t="array" ref="H146">PRODUCT(G146:G181+1)^(1/3)-1</f>
        <v>0.19185225488249813</v>
      </c>
      <c r="I146" s="21">
        <f t="shared" si="8"/>
        <v>9625.8323703327442</v>
      </c>
      <c r="J146" s="26">
        <v>62.68</v>
      </c>
    </row>
    <row r="147" spans="1:10" ht="14.4" x14ac:dyDescent="0.3">
      <c r="A147" s="17">
        <v>41639</v>
      </c>
      <c r="B147" s="18">
        <v>267657.17962319998</v>
      </c>
      <c r="C147" s="18">
        <v>17.949000000000002</v>
      </c>
      <c r="D147" s="18">
        <v>12.025</v>
      </c>
      <c r="E147" s="22">
        <v>2.6315385568059568</v>
      </c>
      <c r="F147" s="19">
        <f t="shared" si="6"/>
        <v>14912.094246097273</v>
      </c>
      <c r="G147" s="20">
        <f t="shared" si="7"/>
        <v>-9.9013037074223709E-3</v>
      </c>
      <c r="H147" s="20" cm="1">
        <f t="array" ref="H147">PRODUCT(G147:G182+1)^(1/3)-1</f>
        <v>0.19937762110702817</v>
      </c>
      <c r="I147" s="21">
        <f t="shared" si="8"/>
        <v>9569.207045717636</v>
      </c>
      <c r="J147" s="26">
        <v>61.8</v>
      </c>
    </row>
    <row r="148" spans="1:10" ht="14.4" x14ac:dyDescent="0.3">
      <c r="A148" s="17">
        <v>41608</v>
      </c>
      <c r="B148" s="18">
        <v>264655.75712160004</v>
      </c>
      <c r="C148" s="18">
        <v>17.571999999999999</v>
      </c>
      <c r="D148" s="18">
        <v>12.064</v>
      </c>
      <c r="E148" s="22">
        <v>2.6689699779889553</v>
      </c>
      <c r="F148" s="19">
        <f t="shared" si="6"/>
        <v>15061.219959116779</v>
      </c>
      <c r="G148" s="20">
        <f t="shared" si="7"/>
        <v>-4.4245455911574805E-2</v>
      </c>
      <c r="H148" s="20" cm="1">
        <f t="array" ref="H148">PRODUCT(G148:G183+1)^(1/3)-1</f>
        <v>0.20221809670334712</v>
      </c>
      <c r="I148" s="21">
        <f t="shared" si="8"/>
        <v>9512.9661278189014</v>
      </c>
      <c r="J148" s="26">
        <v>62.4</v>
      </c>
    </row>
    <row r="149" spans="1:10" ht="14.4" x14ac:dyDescent="0.3">
      <c r="A149" s="17">
        <v>41578</v>
      </c>
      <c r="B149" s="18">
        <v>256784.10921695997</v>
      </c>
      <c r="C149" s="18">
        <v>16.295000000000002</v>
      </c>
      <c r="D149" s="18">
        <v>11.904999999999999</v>
      </c>
      <c r="E149" s="22">
        <v>2.7029928917043478</v>
      </c>
      <c r="F149" s="19">
        <f t="shared" si="6"/>
        <v>15758.460215830619</v>
      </c>
      <c r="G149" s="20">
        <f t="shared" si="7"/>
        <v>2.3039169564223805E-2</v>
      </c>
      <c r="H149" s="20" cm="1">
        <f t="array" ref="H149">PRODUCT(G149:G184+1)^(1/3)-1</f>
        <v>0.25245724431404937</v>
      </c>
      <c r="I149" s="21">
        <f t="shared" si="8"/>
        <v>9453.9421508901996</v>
      </c>
      <c r="J149" s="26">
        <v>61.62</v>
      </c>
    </row>
    <row r="150" spans="1:10" ht="14.4" x14ac:dyDescent="0.3">
      <c r="A150" s="17">
        <v>41547</v>
      </c>
      <c r="B150" s="18">
        <v>251001.24888311003</v>
      </c>
      <c r="C150" s="18">
        <v>16.295000000000002</v>
      </c>
      <c r="D150" s="18">
        <v>11.904999999999999</v>
      </c>
      <c r="E150" s="22">
        <v>2.7179563151834563</v>
      </c>
      <c r="F150" s="19">
        <f t="shared" si="6"/>
        <v>15403.57464762872</v>
      </c>
      <c r="G150" s="20">
        <f t="shared" si="7"/>
        <v>1.5679574001881136E-4</v>
      </c>
      <c r="H150" s="20" cm="1">
        <f t="array" ref="H150">PRODUCT(G150:G185+1)^(1/3)-1</f>
        <v>0.24645949407466938</v>
      </c>
      <c r="I150" s="21">
        <f t="shared" si="8"/>
        <v>9386.1516340628859</v>
      </c>
      <c r="J150" s="26">
        <v>62.59</v>
      </c>
    </row>
    <row r="151" spans="1:10" ht="14.4" x14ac:dyDescent="0.3">
      <c r="A151" s="17">
        <v>41517</v>
      </c>
      <c r="B151" s="18">
        <v>250961.89912641997</v>
      </c>
      <c r="C151" s="18">
        <v>16.295000000000002</v>
      </c>
      <c r="D151" s="18">
        <v>11.904999999999999</v>
      </c>
      <c r="E151" s="22">
        <v>2.7661935922967062</v>
      </c>
      <c r="F151" s="19">
        <f t="shared" si="6"/>
        <v>15401.159811378948</v>
      </c>
      <c r="G151" s="20">
        <f t="shared" si="7"/>
        <v>0.10009367079992981</v>
      </c>
      <c r="H151" s="20" cm="1">
        <f t="array" ref="H151">PRODUCT(G151:G186+1)^(1/3)-1</f>
        <v>0.23614732909657787</v>
      </c>
      <c r="I151" s="21">
        <f t="shared" si="8"/>
        <v>9320.7448621763015</v>
      </c>
      <c r="J151" s="26">
        <v>65.709999999999994</v>
      </c>
    </row>
    <row r="152" spans="1:10" ht="14.4" x14ac:dyDescent="0.3">
      <c r="A152" s="17">
        <v>41486</v>
      </c>
      <c r="B152" s="18">
        <v>237493.66256261998</v>
      </c>
      <c r="C152" s="18">
        <v>16.963999999999999</v>
      </c>
      <c r="D152" s="18">
        <v>11.726000000000001</v>
      </c>
      <c r="E152" s="22">
        <v>2.8035132933034834</v>
      </c>
      <c r="F152" s="19">
        <f t="shared" si="6"/>
        <v>13999.862211896958</v>
      </c>
      <c r="G152" s="20">
        <f t="shared" si="7"/>
        <v>3.1439892399960589E-2</v>
      </c>
      <c r="H152" s="20" cm="1">
        <f t="array" ref="H152">PRODUCT(G152:G187+1)^(1/3)-1</f>
        <v>0.230190282398963</v>
      </c>
      <c r="I152" s="21">
        <f t="shared" si="8"/>
        <v>9253.927115481767</v>
      </c>
      <c r="J152" s="26">
        <v>60.86</v>
      </c>
    </row>
    <row r="153" spans="1:10" ht="14.4" x14ac:dyDescent="0.3">
      <c r="A153" s="17">
        <v>41455</v>
      </c>
      <c r="B153" s="18">
        <v>220685.4334222</v>
      </c>
      <c r="C153" s="18">
        <v>16.259</v>
      </c>
      <c r="D153" s="18">
        <v>11.73</v>
      </c>
      <c r="E153" s="22">
        <v>2.8127003522193439</v>
      </c>
      <c r="F153" s="19">
        <f t="shared" si="6"/>
        <v>13573.124633876621</v>
      </c>
      <c r="G153" s="20">
        <f t="shared" si="7"/>
        <v>4.4075377620836464E-2</v>
      </c>
      <c r="H153" s="20" cm="1">
        <f t="array" ref="H153">PRODUCT(G153:G188+1)^(1/3)-1</f>
        <v>0.22733425182864697</v>
      </c>
      <c r="I153" s="21">
        <f t="shared" si="8"/>
        <v>9201.1945032993754</v>
      </c>
      <c r="J153" s="26">
        <v>59.53</v>
      </c>
    </row>
    <row r="154" spans="1:10" ht="14.4" x14ac:dyDescent="0.3">
      <c r="A154" s="17">
        <v>41425</v>
      </c>
      <c r="B154" s="18">
        <v>215048.29297404</v>
      </c>
      <c r="C154" s="18">
        <v>16.542000000000002</v>
      </c>
      <c r="D154" s="18">
        <v>11.837</v>
      </c>
      <c r="E154" s="22">
        <v>2.828716073638482</v>
      </c>
      <c r="F154" s="19">
        <f t="shared" si="6"/>
        <v>13000.138615284728</v>
      </c>
      <c r="G154" s="20">
        <f t="shared" si="7"/>
        <v>4.8935868419384354E-2</v>
      </c>
      <c r="H154" s="20" cm="1">
        <f t="array" ref="H154">PRODUCT(G154:G189+1)^(1/3)-1</f>
        <v>0.2309468359507485</v>
      </c>
      <c r="I154" s="21">
        <f t="shared" si="8"/>
        <v>9152.0716928434504</v>
      </c>
      <c r="J154" s="26">
        <v>56.58</v>
      </c>
    </row>
    <row r="155" spans="1:10" ht="14.4" x14ac:dyDescent="0.3">
      <c r="A155" s="17">
        <v>41394</v>
      </c>
      <c r="B155" s="18">
        <v>203987.00045542</v>
      </c>
      <c r="C155" s="18">
        <v>16.459</v>
      </c>
      <c r="D155" s="18">
        <v>11.946999999999999</v>
      </c>
      <c r="E155" s="22">
        <v>2.9174051394198486</v>
      </c>
      <c r="F155" s="19">
        <f t="shared" si="6"/>
        <v>12393.644842057234</v>
      </c>
      <c r="G155" s="20">
        <f t="shared" si="7"/>
        <v>-5.1059343086643838E-2</v>
      </c>
      <c r="H155" s="20" cm="1">
        <f t="array" ref="H155">PRODUCT(G155:G190+1)^(1/3)-1</f>
        <v>0.26143825521063158</v>
      </c>
      <c r="I155" s="21">
        <f t="shared" si="8"/>
        <v>9108.3436596338888</v>
      </c>
      <c r="J155" s="26">
        <v>53.69</v>
      </c>
    </row>
    <row r="156" spans="1:10" ht="14.4" x14ac:dyDescent="0.3">
      <c r="A156" s="17">
        <v>41364</v>
      </c>
      <c r="B156" s="18">
        <v>199969.40250612999</v>
      </c>
      <c r="C156" s="18">
        <v>15.311</v>
      </c>
      <c r="D156" s="18">
        <v>12.223000000000001</v>
      </c>
      <c r="E156" s="22">
        <v>2.9196179634859876</v>
      </c>
      <c r="F156" s="19">
        <f t="shared" si="6"/>
        <v>13060.505682589641</v>
      </c>
      <c r="G156" s="20">
        <f t="shared" si="7"/>
        <v>2.19175934072251E-2</v>
      </c>
      <c r="H156" s="20" cm="1">
        <f t="array" ref="H156">PRODUCT(G156:G191+1)^(1/3)-1</f>
        <v>0.28838355605005117</v>
      </c>
      <c r="I156" s="21">
        <f t="shared" si="8"/>
        <v>9070.5815770772988</v>
      </c>
      <c r="J156" s="26">
        <v>54.29</v>
      </c>
    </row>
    <row r="157" spans="1:10" ht="14.4" x14ac:dyDescent="0.3">
      <c r="A157" s="17">
        <v>41333</v>
      </c>
      <c r="B157" s="18">
        <v>195680.55564969999</v>
      </c>
      <c r="C157" s="18">
        <v>15.311</v>
      </c>
      <c r="D157" s="18">
        <v>12.223000000000001</v>
      </c>
      <c r="E157" s="22">
        <v>2.9340133126110057</v>
      </c>
      <c r="F157" s="19">
        <f t="shared" si="6"/>
        <v>12780.390284742994</v>
      </c>
      <c r="G157" s="20">
        <f t="shared" si="7"/>
        <v>3.4226086299814718E-2</v>
      </c>
      <c r="H157" s="20" cm="1">
        <f t="array" ref="H157">PRODUCT(G157:G192+1)^(1/3)-1</f>
        <v>0.40949486683064129</v>
      </c>
      <c r="I157" s="21">
        <f t="shared" si="8"/>
        <v>9024.187110734134</v>
      </c>
      <c r="J157" s="26">
        <v>54.37</v>
      </c>
    </row>
    <row r="158" spans="1:10" ht="14.4" x14ac:dyDescent="0.3">
      <c r="A158" s="17">
        <v>41305</v>
      </c>
      <c r="B158" s="18">
        <v>191441.51256095999</v>
      </c>
      <c r="C158" s="18">
        <v>15.492000000000001</v>
      </c>
      <c r="D158" s="18">
        <v>12.02</v>
      </c>
      <c r="E158" s="22">
        <v>2.966889210023127</v>
      </c>
      <c r="F158" s="19">
        <f t="shared" si="6"/>
        <v>12357.443361797055</v>
      </c>
      <c r="G158" s="20">
        <f t="shared" si="7"/>
        <v>-2.8387461914894163E-2</v>
      </c>
      <c r="H158" s="20" cm="1">
        <f t="array" ref="H158">PRODUCT(G158:G193+1)^(1/3)-1</f>
        <v>0.40008801406353611</v>
      </c>
      <c r="I158" s="21">
        <f t="shared" si="8"/>
        <v>8979.9964851575569</v>
      </c>
      <c r="J158" s="26">
        <v>53.28</v>
      </c>
    </row>
    <row r="159" spans="1:10" ht="14.4" x14ac:dyDescent="0.3">
      <c r="A159" s="17">
        <v>41274</v>
      </c>
      <c r="B159" s="18">
        <v>188042.85962</v>
      </c>
      <c r="C159" s="18">
        <v>14.785</v>
      </c>
      <c r="D159" s="18">
        <v>11.958</v>
      </c>
      <c r="E159" s="22">
        <v>2.9632835777511968</v>
      </c>
      <c r="F159" s="19">
        <f t="shared" si="6"/>
        <v>12718.488983429152</v>
      </c>
      <c r="G159" s="20">
        <f t="shared" si="7"/>
        <v>2.0778176388476011E-2</v>
      </c>
      <c r="H159" s="20" cm="1">
        <f t="array" ref="H159">PRODUCT(G159:G194+1)^(1/3)-1</f>
        <v>0.4079979683776922</v>
      </c>
      <c r="I159" s="21">
        <f t="shared" si="8"/>
        <v>8939.7887842451837</v>
      </c>
      <c r="J159" s="26">
        <v>55</v>
      </c>
    </row>
    <row r="160" spans="1:10" ht="14.4" x14ac:dyDescent="0.3">
      <c r="A160" s="17">
        <v>41243</v>
      </c>
      <c r="B160" s="18">
        <v>182121.99062535001</v>
      </c>
      <c r="C160" s="18">
        <v>14.617000000000001</v>
      </c>
      <c r="D160" s="18">
        <v>11.836</v>
      </c>
      <c r="E160" s="22">
        <v>2.9321426566979447</v>
      </c>
      <c r="F160" s="19">
        <f t="shared" si="6"/>
        <v>12459.601192129028</v>
      </c>
      <c r="G160" s="20">
        <f t="shared" si="7"/>
        <v>1.6571319748267754E-2</v>
      </c>
      <c r="H160" s="20" cm="1">
        <f t="array" ref="H160">PRODUCT(G160:G195+1)^(1/3)-1</f>
        <v>0.37587151339294711</v>
      </c>
      <c r="I160" s="21">
        <f t="shared" si="8"/>
        <v>8894.2622758212801</v>
      </c>
      <c r="J160" s="26">
        <v>54.27</v>
      </c>
    </row>
    <row r="161" spans="1:10" ht="14.4" x14ac:dyDescent="0.3">
      <c r="A161" s="17">
        <v>41213</v>
      </c>
      <c r="B161" s="18">
        <v>178295.23125518003</v>
      </c>
      <c r="C161" s="18">
        <v>14.547000000000001</v>
      </c>
      <c r="D161" s="18">
        <v>11.904</v>
      </c>
      <c r="E161" s="22">
        <v>2.9849622131699283</v>
      </c>
      <c r="F161" s="19">
        <f t="shared" si="6"/>
        <v>12256.494896210905</v>
      </c>
      <c r="G161" s="20">
        <f t="shared" si="7"/>
        <v>2.0337274664855798E-2</v>
      </c>
      <c r="H161" s="20" cm="1">
        <f t="array" ref="H161">PRODUCT(G161:G196+1)^(1/3)-1</f>
        <v>0.34578312794773725</v>
      </c>
      <c r="I161" s="21">
        <f t="shared" si="8"/>
        <v>8850.7825329394764</v>
      </c>
      <c r="J161" s="26">
        <v>53.81</v>
      </c>
    </row>
    <row r="162" spans="1:10" ht="14.4" x14ac:dyDescent="0.3">
      <c r="A162" s="17">
        <v>41182</v>
      </c>
      <c r="B162" s="18">
        <v>176339.08859741999</v>
      </c>
      <c r="C162" s="18">
        <v>14.68</v>
      </c>
      <c r="D162" s="18">
        <v>11.87</v>
      </c>
      <c r="E162" s="22">
        <v>2.9753671275897453</v>
      </c>
      <c r="F162" s="19">
        <f t="shared" si="6"/>
        <v>12012.199495737057</v>
      </c>
      <c r="G162" s="20">
        <f t="shared" si="7"/>
        <v>-3.9585628891567359E-2</v>
      </c>
      <c r="H162" s="20" cm="1">
        <f t="array" ref="H162">PRODUCT(G162:G197+1)^(1/3)-1</f>
        <v>0.33124066586934964</v>
      </c>
      <c r="I162" s="21">
        <f t="shared" si="8"/>
        <v>8808.736701294154</v>
      </c>
      <c r="J162" s="26">
        <v>52.86</v>
      </c>
    </row>
    <row r="163" spans="1:10" ht="14.4" x14ac:dyDescent="0.3">
      <c r="A163" s="17">
        <v>41152</v>
      </c>
      <c r="B163" s="18">
        <v>180292.86206037001</v>
      </c>
      <c r="C163" s="18">
        <v>14.414999999999999</v>
      </c>
      <c r="D163" s="18">
        <v>11.89</v>
      </c>
      <c r="E163" s="22">
        <v>2.9890817656301971</v>
      </c>
      <c r="F163" s="19">
        <f t="shared" si="6"/>
        <v>12507.309196002083</v>
      </c>
      <c r="G163" s="20">
        <f t="shared" si="7"/>
        <v>-9.6817878126118639E-3</v>
      </c>
      <c r="H163" s="20" cm="1">
        <f t="array" ref="H163">PRODUCT(G163:G198+1)^(1/3)-1</f>
        <v>0.28514856245105702</v>
      </c>
      <c r="I163" s="21">
        <f t="shared" si="8"/>
        <v>8768.6934163636179</v>
      </c>
      <c r="J163" s="26">
        <v>55.53</v>
      </c>
    </row>
    <row r="164" spans="1:10" ht="14.4" x14ac:dyDescent="0.3">
      <c r="A164" s="17">
        <v>41121</v>
      </c>
      <c r="B164" s="18">
        <v>175930.13534052001</v>
      </c>
      <c r="C164" s="18">
        <v>13.93</v>
      </c>
      <c r="D164" s="18">
        <v>12.106</v>
      </c>
      <c r="E164" s="22">
        <v>2.9767889439175521</v>
      </c>
      <c r="F164" s="19">
        <f t="shared" si="6"/>
        <v>12629.586169455852</v>
      </c>
      <c r="G164" s="20">
        <f t="shared" si="7"/>
        <v>-5.6905144761731918E-4</v>
      </c>
      <c r="H164" s="20" cm="1">
        <f t="array" ref="H164">PRODUCT(G164:G199+1)^(1/3)-1</f>
        <v>0.26591939828455158</v>
      </c>
      <c r="I164" s="21">
        <f t="shared" si="8"/>
        <v>8721.3691659884444</v>
      </c>
      <c r="J164" s="26">
        <v>55.56</v>
      </c>
    </row>
    <row r="165" spans="1:10" ht="14.4" x14ac:dyDescent="0.3">
      <c r="A165" s="17">
        <v>41090</v>
      </c>
      <c r="B165" s="18">
        <v>173540.86054304999</v>
      </c>
      <c r="C165" s="18">
        <v>13.733000000000001</v>
      </c>
      <c r="D165" s="18">
        <v>12.143000000000001</v>
      </c>
      <c r="E165" s="22">
        <v>2.969474029417718</v>
      </c>
      <c r="F165" s="19">
        <f t="shared" si="6"/>
        <v>12636.777145783877</v>
      </c>
      <c r="G165" s="20">
        <f t="shared" si="7"/>
        <v>1.2134767549899284E-2</v>
      </c>
      <c r="H165" s="20" cm="1">
        <f t="array" ref="H165">PRODUCT(G165:G200+1)^(1/3)-1</f>
        <v>0.2563413468527791</v>
      </c>
      <c r="I165" s="21">
        <f t="shared" si="8"/>
        <v>8671.263819790147</v>
      </c>
      <c r="J165" s="26">
        <v>55.51</v>
      </c>
    </row>
    <row r="166" spans="1:10" ht="14.4" x14ac:dyDescent="0.3">
      <c r="A166" s="17">
        <v>41060</v>
      </c>
      <c r="B166" s="18">
        <v>166703.34214379999</v>
      </c>
      <c r="C166" s="18">
        <v>13.352</v>
      </c>
      <c r="D166" s="18">
        <v>11.993</v>
      </c>
      <c r="E166" s="22">
        <v>2.9539650786543081</v>
      </c>
      <c r="F166" s="19">
        <f t="shared" si="6"/>
        <v>12485.27128099161</v>
      </c>
      <c r="G166" s="20">
        <f t="shared" si="7"/>
        <v>6.4383998136446685E-2</v>
      </c>
      <c r="H166" s="20" cm="1">
        <f t="array" ref="H166">PRODUCT(G166:G201+1)^(1/3)-1</f>
        <v>0.21340415585419481</v>
      </c>
      <c r="I166" s="21">
        <f t="shared" si="8"/>
        <v>8619.7636467252923</v>
      </c>
      <c r="J166" s="26">
        <v>56.04</v>
      </c>
    </row>
    <row r="167" spans="1:10" ht="14.4" x14ac:dyDescent="0.3">
      <c r="A167" s="17">
        <v>41029</v>
      </c>
      <c r="B167" s="18">
        <v>171481.51529559001</v>
      </c>
      <c r="C167" s="18">
        <v>14.619</v>
      </c>
      <c r="D167" s="18">
        <v>12.034000000000001</v>
      </c>
      <c r="E167" s="22">
        <v>2.9425255868911426</v>
      </c>
      <c r="F167" s="19">
        <f t="shared" si="6"/>
        <v>11730.044140884467</v>
      </c>
      <c r="G167" s="20">
        <f t="shared" si="7"/>
        <v>3.8266695036467846E-2</v>
      </c>
      <c r="H167" s="20" cm="1">
        <f t="array" ref="H167">PRODUCT(G167:G202+1)^(1/3)-1</f>
        <v>0.16193033846636462</v>
      </c>
      <c r="I167" s="21">
        <f t="shared" si="8"/>
        <v>8568.901704169155</v>
      </c>
      <c r="J167" s="26">
        <v>52.67</v>
      </c>
    </row>
    <row r="168" spans="1:10" ht="14.4" x14ac:dyDescent="0.3">
      <c r="A168" s="17">
        <v>40999</v>
      </c>
      <c r="B168" s="18">
        <v>167556.45296640001</v>
      </c>
      <c r="C168" s="18">
        <v>14.831</v>
      </c>
      <c r="D168" s="18">
        <v>12.087</v>
      </c>
      <c r="E168" s="22">
        <v>2.9079171882868238</v>
      </c>
      <c r="F168" s="19">
        <f t="shared" si="6"/>
        <v>11297.717818515273</v>
      </c>
      <c r="G168" s="20">
        <f t="shared" si="7"/>
        <v>2.806424902273319E-2</v>
      </c>
      <c r="H168" s="20" cm="1">
        <f t="array" ref="H168">PRODUCT(G168:G203+1)^(1/3)-1</f>
        <v>0.13460289353437727</v>
      </c>
      <c r="I168" s="21">
        <f t="shared" si="8"/>
        <v>8526.7531383462847</v>
      </c>
      <c r="J168" s="26">
        <v>50.88</v>
      </c>
    </row>
    <row r="169" spans="1:10" ht="14.4" x14ac:dyDescent="0.3">
      <c r="A169" s="17">
        <v>40968</v>
      </c>
      <c r="B169" s="18">
        <v>159674.68965006</v>
      </c>
      <c r="C169" s="18">
        <v>14.53</v>
      </c>
      <c r="D169" s="18">
        <v>12.138</v>
      </c>
      <c r="E169" s="22">
        <v>2.8941169023035895</v>
      </c>
      <c r="F169" s="19">
        <f t="shared" si="6"/>
        <v>10989.311056439092</v>
      </c>
      <c r="G169" s="20">
        <f t="shared" si="7"/>
        <v>-1.5243763788023168E-2</v>
      </c>
      <c r="H169" s="20" cm="1">
        <f t="array" ref="H169">PRODUCT(G169:G204+1)^(1/3)-1</f>
        <v>5.3823395727886858E-2</v>
      </c>
      <c r="I169" s="21">
        <f t="shared" si="8"/>
        <v>8489.3076696953558</v>
      </c>
      <c r="J169" s="26">
        <v>49.11</v>
      </c>
    </row>
    <row r="170" spans="1:10" ht="14.4" x14ac:dyDescent="0.3">
      <c r="A170" s="17">
        <v>40939</v>
      </c>
      <c r="B170" s="18">
        <v>153509.01810368002</v>
      </c>
      <c r="C170" s="18">
        <v>13.756</v>
      </c>
      <c r="D170" s="18">
        <v>12.019</v>
      </c>
      <c r="E170" s="22">
        <v>2.8332588819180105</v>
      </c>
      <c r="F170" s="19">
        <f t="shared" si="6"/>
        <v>11159.422659470778</v>
      </c>
      <c r="G170" s="20">
        <f t="shared" si="7"/>
        <v>-6.042757229026896E-2</v>
      </c>
      <c r="H170" s="20" cm="1">
        <f t="array" ref="H170">PRODUCT(G170:G205+1)^(1/3)-1</f>
        <v>4.8019897201514894E-2</v>
      </c>
      <c r="I170" s="21">
        <f t="shared" si="8"/>
        <v>8455.0610479591378</v>
      </c>
      <c r="J170" s="26">
        <v>49.52</v>
      </c>
    </row>
    <row r="171" spans="1:10" ht="14.4" x14ac:dyDescent="0.3">
      <c r="A171" s="17">
        <v>40908</v>
      </c>
      <c r="B171" s="18">
        <v>156504.92505648002</v>
      </c>
      <c r="C171" s="18">
        <v>13.177</v>
      </c>
      <c r="D171" s="18">
        <v>12.247999999999999</v>
      </c>
      <c r="E171" s="22">
        <v>2.812541229832477</v>
      </c>
      <c r="F171" s="19">
        <f t="shared" si="6"/>
        <v>11877.128713400623</v>
      </c>
      <c r="G171" s="20">
        <f t="shared" si="7"/>
        <v>1.2333989590629368E-3</v>
      </c>
      <c r="H171" s="20" cm="1">
        <f t="array" ref="H171">PRODUCT(G171:G206+1)^(1/3)-1</f>
        <v>7.6709173910096018E-2</v>
      </c>
      <c r="I171" s="21">
        <f t="shared" si="8"/>
        <v>8417.5004700214758</v>
      </c>
      <c r="J171" s="26">
        <v>53.02</v>
      </c>
    </row>
    <row r="172" spans="1:10" ht="14.4" x14ac:dyDescent="0.3">
      <c r="A172" s="17">
        <v>40877</v>
      </c>
      <c r="B172" s="18">
        <v>153963.35532903002</v>
      </c>
      <c r="C172" s="18">
        <v>12.978999999999999</v>
      </c>
      <c r="D172" s="18">
        <v>12.361000000000001</v>
      </c>
      <c r="E172" s="22">
        <v>2.7877815943222695</v>
      </c>
      <c r="F172" s="19">
        <f t="shared" si="6"/>
        <v>11862.497521305959</v>
      </c>
      <c r="G172" s="20">
        <f t="shared" si="7"/>
        <v>6.7871051697291795E-2</v>
      </c>
      <c r="H172" s="20" cm="1">
        <f t="array" ref="H172">PRODUCT(G172:G207+1)^(1/3)-1</f>
        <v>6.9598634687279226E-2</v>
      </c>
      <c r="I172" s="21">
        <f t="shared" si="8"/>
        <v>8368.7733116640229</v>
      </c>
      <c r="J172" s="26">
        <v>52.13</v>
      </c>
    </row>
    <row r="173" spans="1:10" ht="14.4" x14ac:dyDescent="0.3">
      <c r="A173" s="17">
        <v>40847</v>
      </c>
      <c r="B173" s="18">
        <v>147432.65757839999</v>
      </c>
      <c r="C173" s="18">
        <v>13.272</v>
      </c>
      <c r="D173" s="18">
        <v>12.327999999999999</v>
      </c>
      <c r="E173" s="22">
        <v>2.7155341553879664</v>
      </c>
      <c r="F173" s="19">
        <f t="shared" si="6"/>
        <v>11108.548642133814</v>
      </c>
      <c r="G173" s="20">
        <f t="shared" si="7"/>
        <v>9.2583758829103413E-3</v>
      </c>
      <c r="H173" s="20" cm="1">
        <f t="array" ref="H173">PRODUCT(G173:G208+1)^(1/3)-1</f>
        <v>4.2791030729199209E-2</v>
      </c>
      <c r="I173" s="21">
        <f t="shared" si="8"/>
        <v>8318.8629658119953</v>
      </c>
      <c r="J173" s="26">
        <v>48.7</v>
      </c>
    </row>
    <row r="174" spans="1:10" ht="14.4" x14ac:dyDescent="0.3">
      <c r="A174" s="17">
        <v>40816</v>
      </c>
      <c r="B174" s="18">
        <v>134490.19507962</v>
      </c>
      <c r="C174" s="18">
        <v>12.218999999999999</v>
      </c>
      <c r="D174" s="18">
        <v>12.318</v>
      </c>
      <c r="E174" s="22">
        <v>2.7069715629784108</v>
      </c>
      <c r="F174" s="19">
        <f t="shared" si="6"/>
        <v>11006.644985646944</v>
      </c>
      <c r="G174" s="20">
        <f t="shared" si="7"/>
        <v>5.0608302195286337E-2</v>
      </c>
      <c r="H174" s="20" cm="1">
        <f t="array" ref="H174">PRODUCT(G174:G209+1)^(1/3)-1</f>
        <v>4.2858821219856624E-2</v>
      </c>
      <c r="I174" s="21">
        <f t="shared" si="8"/>
        <v>8278.4327386189252</v>
      </c>
      <c r="J174" s="26">
        <v>49.02</v>
      </c>
    </row>
    <row r="175" spans="1:10" ht="14.4" x14ac:dyDescent="0.3">
      <c r="A175" s="17">
        <v>40786</v>
      </c>
      <c r="B175" s="18">
        <v>137534.83107799999</v>
      </c>
      <c r="C175" s="18">
        <v>13.128</v>
      </c>
      <c r="D175" s="18">
        <v>12.289</v>
      </c>
      <c r="E175" s="22">
        <v>2.6599722182190977</v>
      </c>
      <c r="F175" s="19">
        <f t="shared" si="6"/>
        <v>10476.449655545399</v>
      </c>
      <c r="G175" s="20">
        <f t="shared" si="7"/>
        <v>5.8992202806471772E-2</v>
      </c>
      <c r="H175" s="20" cm="1">
        <f t="array" ref="H175">PRODUCT(G175:G210+1)^(1/3)-1</f>
        <v>2.7407136400146248E-2</v>
      </c>
      <c r="I175" s="21">
        <f t="shared" si="8"/>
        <v>8238.3119702802778</v>
      </c>
      <c r="J175" s="26">
        <v>45.8</v>
      </c>
    </row>
    <row r="176" spans="1:10" ht="14.4" x14ac:dyDescent="0.3">
      <c r="A176" s="17">
        <v>40755</v>
      </c>
      <c r="B176" s="18">
        <v>142823.05693684999</v>
      </c>
      <c r="C176" s="18">
        <v>14.436999999999999</v>
      </c>
      <c r="D176" s="18">
        <v>12.138999999999999</v>
      </c>
      <c r="E176" s="22">
        <v>2.6217256616797302</v>
      </c>
      <c r="F176" s="19">
        <f t="shared" si="6"/>
        <v>9892.8487176594863</v>
      </c>
      <c r="G176" s="20">
        <f t="shared" si="7"/>
        <v>-2.5397776190905663E-2</v>
      </c>
      <c r="H176" s="20" cm="1">
        <f t="array" ref="H176">PRODUCT(G176:G211+1)^(1/3)-1</f>
        <v>1.0913177183675238E-2</v>
      </c>
      <c r="I176" s="21">
        <f t="shared" si="8"/>
        <v>8204.9069302016942</v>
      </c>
      <c r="J176" s="26">
        <v>44.21</v>
      </c>
    </row>
    <row r="177" spans="1:10" ht="14.4" x14ac:dyDescent="0.3">
      <c r="A177" s="17">
        <v>40724</v>
      </c>
      <c r="B177" s="18">
        <v>147072.80731410001</v>
      </c>
      <c r="C177" s="18">
        <v>14.489000000000001</v>
      </c>
      <c r="D177" s="18">
        <v>12.204000000000001</v>
      </c>
      <c r="E177" s="22">
        <v>2.6250531537707733</v>
      </c>
      <c r="F177" s="19">
        <f t="shared" si="6"/>
        <v>10150.652723728346</v>
      </c>
      <c r="G177" s="20">
        <f t="shared" si="7"/>
        <v>3.877346950516003E-3</v>
      </c>
      <c r="H177" s="20" cm="1">
        <f t="array" ref="H177">PRODUCT(G177:G212+1)^(1/3)-1</f>
        <v>1.4472378489472471E-2</v>
      </c>
      <c r="I177" s="21">
        <f t="shared" si="8"/>
        <v>8179.332054634152</v>
      </c>
      <c r="J177" s="26">
        <v>44.7</v>
      </c>
    </row>
    <row r="178" spans="1:10" ht="14.4" x14ac:dyDescent="0.3">
      <c r="A178" s="17">
        <v>40694</v>
      </c>
      <c r="B178" s="18">
        <v>150640.33941744</v>
      </c>
      <c r="C178" s="18">
        <v>14.898</v>
      </c>
      <c r="D178" s="18">
        <v>12.27</v>
      </c>
      <c r="E178" s="22">
        <v>2.6141089291725095</v>
      </c>
      <c r="F178" s="19">
        <f t="shared" si="6"/>
        <v>10111.447135014096</v>
      </c>
      <c r="G178" s="20">
        <f t="shared" si="7"/>
        <v>4.3596988327774922E-2</v>
      </c>
      <c r="H178" s="20" cm="1">
        <f t="array" ref="H178">PRODUCT(G178:G213+1)^(1/3)-1</f>
        <v>1.2159093023471401E-2</v>
      </c>
      <c r="I178" s="21">
        <f t="shared" si="8"/>
        <v>8149.004044340395</v>
      </c>
      <c r="J178" s="26">
        <v>45.06</v>
      </c>
    </row>
    <row r="179" spans="1:10" ht="14.4" x14ac:dyDescent="0.3">
      <c r="A179" s="17">
        <v>40663</v>
      </c>
      <c r="B179" s="18">
        <v>151100.49169768</v>
      </c>
      <c r="C179" s="18">
        <v>15.595000000000001</v>
      </c>
      <c r="D179" s="18">
        <v>12.1</v>
      </c>
      <c r="E179" s="22">
        <v>2.5974555343798444</v>
      </c>
      <c r="F179" s="19">
        <f t="shared" si="6"/>
        <v>9689.0344147277974</v>
      </c>
      <c r="G179" s="20">
        <f t="shared" si="7"/>
        <v>2.2045665701575734E-2</v>
      </c>
      <c r="H179" s="20" cm="1">
        <f t="array" ref="H179">PRODUCT(G179:G214+1)^(1/3)-1</f>
        <v>1.1602103928673557E-2</v>
      </c>
      <c r="I179" s="21">
        <f t="shared" si="8"/>
        <v>8118.3408710486183</v>
      </c>
      <c r="J179" s="26">
        <v>44.26</v>
      </c>
    </row>
    <row r="180" spans="1:10" ht="14.4" x14ac:dyDescent="0.3">
      <c r="A180" s="17">
        <v>40633</v>
      </c>
      <c r="B180" s="18">
        <v>145859.90480441999</v>
      </c>
      <c r="C180" s="18">
        <v>15.385999999999999</v>
      </c>
      <c r="D180" s="18">
        <v>12.06</v>
      </c>
      <c r="E180" s="22">
        <v>2.5523348728244688</v>
      </c>
      <c r="F180" s="19">
        <f t="shared" si="6"/>
        <v>9480.040608632522</v>
      </c>
      <c r="G180" s="20">
        <f t="shared" si="7"/>
        <v>6.5409373810306315E-2</v>
      </c>
      <c r="H180" s="20" cm="1">
        <f t="array" ref="H180">PRODUCT(G180:G215+1)^(1/3)-1</f>
        <v>5.3240616172607336E-3</v>
      </c>
      <c r="I180" s="21">
        <f t="shared" si="8"/>
        <v>8093.4092274981558</v>
      </c>
      <c r="J180" s="26">
        <v>44.54</v>
      </c>
    </row>
    <row r="181" spans="1:10" ht="14.4" x14ac:dyDescent="0.3">
      <c r="A181" s="17">
        <v>40602</v>
      </c>
      <c r="B181" s="18">
        <v>149727.08823741</v>
      </c>
      <c r="C181" s="18">
        <v>16.827000000000002</v>
      </c>
      <c r="D181" s="18">
        <v>11.422000000000001</v>
      </c>
      <c r="E181" s="22">
        <v>2.5547978550014561</v>
      </c>
      <c r="F181" s="19">
        <f t="shared" si="6"/>
        <v>8898.0262814173639</v>
      </c>
      <c r="G181" s="20">
        <f t="shared" si="7"/>
        <v>1.8938977494920017E-4</v>
      </c>
      <c r="H181" s="20" cm="1">
        <f t="array" ref="H181">PRODUCT(G181:G216+1)^(1/3)-1</f>
        <v>-2.049040218365128E-2</v>
      </c>
      <c r="I181" s="21">
        <f t="shared" si="8"/>
        <v>8071.0442052217941</v>
      </c>
      <c r="J181" s="26">
        <v>45.27</v>
      </c>
    </row>
    <row r="182" spans="1:10" ht="14.4" x14ac:dyDescent="0.3">
      <c r="A182" s="17">
        <v>40574</v>
      </c>
      <c r="B182" s="18">
        <v>146451.57221438998</v>
      </c>
      <c r="C182" s="18">
        <v>16.462</v>
      </c>
      <c r="D182" s="18">
        <v>11.435</v>
      </c>
      <c r="E182" s="22">
        <v>2.5599669013059767</v>
      </c>
      <c r="F182" s="19">
        <f t="shared" si="6"/>
        <v>8896.341405320738</v>
      </c>
      <c r="G182" s="20">
        <f t="shared" si="7"/>
        <v>2.9296805117511981E-2</v>
      </c>
      <c r="H182" s="20" cm="1">
        <f t="array" ref="H182">PRODUCT(G182:G217+1)^(1/3)-1</f>
        <v>-1.1183758069332361E-2</v>
      </c>
      <c r="I182" s="21">
        <f t="shared" si="8"/>
        <v>8057.4871220054729</v>
      </c>
      <c r="J182" s="26">
        <v>45.83</v>
      </c>
    </row>
    <row r="183" spans="1:10" ht="14.4" x14ac:dyDescent="0.3">
      <c r="A183" s="17">
        <v>40543</v>
      </c>
      <c r="B183" s="18">
        <v>139716.12279569003</v>
      </c>
      <c r="C183" s="18">
        <v>16.164999999999999</v>
      </c>
      <c r="D183" s="18">
        <v>11.445</v>
      </c>
      <c r="E183" s="22">
        <v>2.5441733673152944</v>
      </c>
      <c r="F183" s="19">
        <f t="shared" si="6"/>
        <v>8643.125443593568</v>
      </c>
      <c r="G183" s="20">
        <f t="shared" si="7"/>
        <v>-2.8501043353466038E-3</v>
      </c>
      <c r="H183" s="20" cm="1">
        <f t="array" ref="H183">PRODUCT(G183:G218+1)^(1/3)-1</f>
        <v>-1.7886414403831319E-2</v>
      </c>
      <c r="I183" s="21">
        <f t="shared" si="8"/>
        <v>8043.5062172835515</v>
      </c>
      <c r="J183" s="26">
        <v>44.71</v>
      </c>
    </row>
    <row r="184" spans="1:10" ht="14.4" x14ac:dyDescent="0.3">
      <c r="A184" s="17">
        <v>40512</v>
      </c>
      <c r="B184" s="18">
        <v>133319.88803879998</v>
      </c>
      <c r="C184" s="18">
        <v>15.381</v>
      </c>
      <c r="D184" s="18">
        <v>11.427</v>
      </c>
      <c r="E184" s="22">
        <v>2.548325482693925</v>
      </c>
      <c r="F184" s="19">
        <f t="shared" si="6"/>
        <v>8667.8296624926843</v>
      </c>
      <c r="G184" s="20">
        <f t="shared" si="7"/>
        <v>8.0650641871091056E-2</v>
      </c>
      <c r="H184" s="20" cm="1">
        <f t="array" ref="H184">PRODUCT(G184:G219+1)^(1/3)-1</f>
        <v>-2.0383002202879807E-2</v>
      </c>
      <c r="I184" s="21">
        <f t="shared" si="8"/>
        <v>8033.3431795494844</v>
      </c>
      <c r="J184" s="26">
        <v>45.8</v>
      </c>
    </row>
    <row r="185" spans="1:10" ht="14.4" x14ac:dyDescent="0.3">
      <c r="A185" s="17">
        <v>40482</v>
      </c>
      <c r="B185" s="18">
        <v>131888.25103883</v>
      </c>
      <c r="C185" s="18">
        <v>16.443000000000001</v>
      </c>
      <c r="D185" s="18">
        <v>10.912000000000001</v>
      </c>
      <c r="E185" s="22">
        <v>2.5639626836761797</v>
      </c>
      <c r="F185" s="19">
        <f t="shared" si="6"/>
        <v>8020.9360237687761</v>
      </c>
      <c r="G185" s="20">
        <f t="shared" si="7"/>
        <v>8.4120914393228663E-3</v>
      </c>
      <c r="H185" s="20" cm="1">
        <f t="array" ref="H185">PRODUCT(G185:G220+1)^(1/3)-1</f>
        <v>-4.1212823275674659E-2</v>
      </c>
      <c r="I185" s="21">
        <f t="shared" si="8"/>
        <v>8022.4037574297727</v>
      </c>
      <c r="J185" s="26">
        <v>44.33</v>
      </c>
    </row>
    <row r="186" spans="1:10" ht="14.4" x14ac:dyDescent="0.3">
      <c r="A186" s="17">
        <v>40451</v>
      </c>
      <c r="B186" s="18">
        <v>127837.10634609</v>
      </c>
      <c r="C186" s="18">
        <v>16.071999999999999</v>
      </c>
      <c r="D186" s="18">
        <v>10.888</v>
      </c>
      <c r="E186" s="22">
        <v>2.5577440073465629</v>
      </c>
      <c r="F186" s="19">
        <f t="shared" si="6"/>
        <v>7954.0260294978852</v>
      </c>
      <c r="G186" s="20">
        <f t="shared" si="7"/>
        <v>-2.4461789031026249E-2</v>
      </c>
      <c r="H186" s="20" cm="1">
        <f t="array" ref="H186">PRODUCT(G186:G221+1)^(1/3)-1</f>
        <v>-4.3723357213437009E-2</v>
      </c>
      <c r="I186" s="21">
        <f t="shared" si="8"/>
        <v>8022.4295071431234</v>
      </c>
      <c r="J186" s="26">
        <v>44.57</v>
      </c>
    </row>
    <row r="187" spans="1:10" ht="14.4" x14ac:dyDescent="0.3">
      <c r="A187" s="17">
        <v>40421</v>
      </c>
      <c r="B187" s="18">
        <v>123492.52636973999</v>
      </c>
      <c r="C187" s="18">
        <v>15.146000000000001</v>
      </c>
      <c r="D187" s="18">
        <v>10.837999999999999</v>
      </c>
      <c r="E187" s="22">
        <v>2.5293366975774223</v>
      </c>
      <c r="F187" s="19">
        <f t="shared" si="6"/>
        <v>8153.4746051591173</v>
      </c>
      <c r="G187" s="20">
        <f t="shared" si="7"/>
        <v>8.4265995730603782E-2</v>
      </c>
      <c r="H187" s="20" cm="1">
        <f t="array" ref="H187">PRODUCT(G187:G222+1)^(1/3)-1</f>
        <v>-2.7426812852474725E-2</v>
      </c>
      <c r="I187" s="21">
        <f t="shared" si="8"/>
        <v>8023.6509978153617</v>
      </c>
      <c r="J187" s="26">
        <v>47.07</v>
      </c>
    </row>
    <row r="188" spans="1:10" ht="14.4" x14ac:dyDescent="0.3">
      <c r="A188" s="17">
        <v>40390</v>
      </c>
      <c r="B188" s="18">
        <v>126483.20928515999</v>
      </c>
      <c r="C188" s="18">
        <v>16.82</v>
      </c>
      <c r="D188" s="18">
        <v>10.250999999999999</v>
      </c>
      <c r="E188" s="22">
        <v>2.540241988649794</v>
      </c>
      <c r="F188" s="19">
        <f t="shared" si="6"/>
        <v>7519.8103023281801</v>
      </c>
      <c r="G188" s="20">
        <f t="shared" si="7"/>
        <v>2.4272732674571307E-2</v>
      </c>
      <c r="H188" s="20" cm="1">
        <f t="array" ref="H188">PRODUCT(G188:G223+1)^(1/3)-1</f>
        <v>-4.8470581754153419E-2</v>
      </c>
      <c r="I188" s="21">
        <f t="shared" si="8"/>
        <v>8021.2905685909291</v>
      </c>
      <c r="J188" s="26">
        <v>46.41</v>
      </c>
    </row>
    <row r="189" spans="1:10" ht="14.4" x14ac:dyDescent="0.3">
      <c r="A189" s="17">
        <v>40359</v>
      </c>
      <c r="B189" s="18">
        <v>117098.66961795001</v>
      </c>
      <c r="C189" s="18">
        <v>15.95</v>
      </c>
      <c r="D189" s="18">
        <v>10.243</v>
      </c>
      <c r="E189" s="22">
        <v>2.5529649920039033</v>
      </c>
      <c r="F189" s="19">
        <f t="shared" si="6"/>
        <v>7341.6093804357379</v>
      </c>
      <c r="G189" s="20">
        <f t="shared" si="7"/>
        <v>5.3322059476801353E-2</v>
      </c>
      <c r="H189" s="20" cm="1">
        <f t="array" ref="H189">PRODUCT(G189:G224+1)^(1/3)-1</f>
        <v>-5.6063862809647369E-2</v>
      </c>
      <c r="I189" s="21">
        <f t="shared" si="8"/>
        <v>8030.5772401883869</v>
      </c>
      <c r="J189" s="26">
        <v>46.45</v>
      </c>
    </row>
    <row r="190" spans="1:10" ht="14.4" x14ac:dyDescent="0.3">
      <c r="A190" s="17">
        <v>40329</v>
      </c>
      <c r="B190" s="18">
        <v>121047.24187905001</v>
      </c>
      <c r="C190" s="18">
        <v>17.367000000000001</v>
      </c>
      <c r="D190" s="18">
        <v>9.8979999999999997</v>
      </c>
      <c r="E190" s="22">
        <v>2.5815142148731818</v>
      </c>
      <c r="F190" s="19">
        <f t="shared" si="6"/>
        <v>6969.9569228450509</v>
      </c>
      <c r="G190" s="20">
        <f t="shared" si="7"/>
        <v>0.12883129239712754</v>
      </c>
      <c r="H190" s="20" cm="1">
        <f t="array" ref="H190">PRODUCT(G190:G225+1)^(1/3)-1</f>
        <v>-6.5096324889177826E-2</v>
      </c>
      <c r="I190" s="21">
        <f t="shared" si="8"/>
        <v>8043.5766337686255</v>
      </c>
      <c r="J190" s="26">
        <v>46.37</v>
      </c>
    </row>
    <row r="191" spans="1:10" ht="14.4" x14ac:dyDescent="0.3">
      <c r="A191" s="17">
        <v>40298</v>
      </c>
      <c r="B191" s="18">
        <v>127836.62988660001</v>
      </c>
      <c r="C191" s="18">
        <v>20.704000000000001</v>
      </c>
      <c r="D191" s="18">
        <v>9.0749999999999993</v>
      </c>
      <c r="E191" s="22">
        <v>2.6323887333083551</v>
      </c>
      <c r="F191" s="19">
        <f t="shared" si="6"/>
        <v>6174.4894651564919</v>
      </c>
      <c r="G191" s="20">
        <f t="shared" si="7"/>
        <v>1.1059189963382288E-2</v>
      </c>
      <c r="H191" s="20" cm="1">
        <f t="array" ref="H191">PRODUCT(G191:G226+1)^(1/3)-1</f>
        <v>-0.10717324314759713</v>
      </c>
      <c r="I191" s="21">
        <f t="shared" si="8"/>
        <v>8064.2231666710013</v>
      </c>
      <c r="J191" s="26">
        <v>44.28</v>
      </c>
    </row>
    <row r="192" spans="1:10" ht="14.4" x14ac:dyDescent="0.3">
      <c r="A192" s="17">
        <v>40268</v>
      </c>
      <c r="B192" s="18">
        <v>129406.30288064999</v>
      </c>
      <c r="C192" s="18">
        <v>21.19</v>
      </c>
      <c r="D192" s="18">
        <v>8.9209999999999994</v>
      </c>
      <c r="E192" s="22">
        <v>2.7749483972797861</v>
      </c>
      <c r="F192" s="19">
        <f t="shared" si="6"/>
        <v>6106.9515281099566</v>
      </c>
      <c r="G192" s="20">
        <f t="shared" si="7"/>
        <v>0.3380454089979763</v>
      </c>
      <c r="H192" s="20" cm="1">
        <f t="array" ref="H192">PRODUCT(G192:G227+1)^(1/3)-1</f>
        <v>-0.11941812051986789</v>
      </c>
      <c r="I192" s="21">
        <f t="shared" si="8"/>
        <v>8101.2767686614834</v>
      </c>
      <c r="J192" s="26">
        <v>44.83</v>
      </c>
    </row>
    <row r="193" spans="1:10" ht="14.4" x14ac:dyDescent="0.3">
      <c r="A193" s="17">
        <v>40237</v>
      </c>
      <c r="B193" s="18">
        <v>125338.87246065</v>
      </c>
      <c r="C193" s="18">
        <v>27.462</v>
      </c>
      <c r="D193" s="18">
        <v>6.5439999999999996</v>
      </c>
      <c r="E193" s="22">
        <v>2.8099334420998545</v>
      </c>
      <c r="F193" s="19">
        <f t="shared" si="6"/>
        <v>4564.083914523706</v>
      </c>
      <c r="G193" s="20">
        <f t="shared" si="7"/>
        <v>1.3656956395644348E-2</v>
      </c>
      <c r="H193" s="20" cm="1">
        <f t="array" ref="H193">PRODUCT(G193:G228+1)^(1/3)-1</f>
        <v>-0.19587079742974145</v>
      </c>
      <c r="I193" s="21">
        <f t="shared" si="8"/>
        <v>8141.1632734725126</v>
      </c>
      <c r="J193" s="26">
        <v>46.11</v>
      </c>
    </row>
    <row r="194" spans="1:10" ht="14.4" x14ac:dyDescent="0.3">
      <c r="A194" s="17">
        <v>40209</v>
      </c>
      <c r="B194" s="18">
        <v>123650.18724513</v>
      </c>
      <c r="C194" s="18">
        <v>27.462</v>
      </c>
      <c r="D194" s="18">
        <v>6.5439999999999996</v>
      </c>
      <c r="E194" s="22">
        <v>2.9557478814684179</v>
      </c>
      <c r="F194" s="19">
        <f t="shared" si="6"/>
        <v>4502.5922090572431</v>
      </c>
      <c r="G194" s="20">
        <f t="shared" si="7"/>
        <v>-1.1826548454926256E-2</v>
      </c>
      <c r="H194" s="20" cm="1">
        <f t="array" ref="H194">PRODUCT(G194:G229+1)^(1/3)-1</f>
        <v>-0.19671728656619158</v>
      </c>
      <c r="I194" s="21">
        <f t="shared" si="8"/>
        <v>8214.1648930428964</v>
      </c>
      <c r="J194" s="26">
        <v>46.13</v>
      </c>
    </row>
    <row r="195" spans="1:10" ht="14.4" x14ac:dyDescent="0.3">
      <c r="A195" s="17">
        <v>40178</v>
      </c>
      <c r="B195" s="18">
        <v>129763.98356102999</v>
      </c>
      <c r="C195" s="18">
        <v>28.478999999999999</v>
      </c>
      <c r="D195" s="18">
        <v>6.5640000000000001</v>
      </c>
      <c r="E195" s="22">
        <v>3.0055735006415896</v>
      </c>
      <c r="F195" s="19">
        <f t="shared" ref="F195:F242" si="9">B195/C195</f>
        <v>4556.4796362593488</v>
      </c>
      <c r="G195" s="20">
        <f t="shared" ref="G195:G241" si="10">F195/F196-1</f>
        <v>-4.7513280865008611E-2</v>
      </c>
      <c r="H195" s="20" cm="1">
        <f t="array" ref="H195">PRODUCT(G195:G230+1)^(1/3)-1</f>
        <v>-0.19452868494311559</v>
      </c>
      <c r="I195" s="21">
        <f t="shared" ref="I195:I242" si="11">AVERAGE(F195:F314)</f>
        <v>8291.4893239592639</v>
      </c>
      <c r="J195" s="26">
        <v>46.41</v>
      </c>
    </row>
    <row r="196" spans="1:10" ht="14.4" x14ac:dyDescent="0.3">
      <c r="A196" s="17">
        <v>40147</v>
      </c>
      <c r="B196" s="18">
        <v>127831.96489153999</v>
      </c>
      <c r="C196" s="18">
        <v>26.722000000000001</v>
      </c>
      <c r="D196" s="18">
        <v>6.7679999999999998</v>
      </c>
      <c r="E196" s="22">
        <v>3.0719036838559477</v>
      </c>
      <c r="F196" s="19">
        <f t="shared" si="9"/>
        <v>4783.7723557944755</v>
      </c>
      <c r="G196" s="20">
        <f t="shared" si="10"/>
        <v>-4.867380814371991E-2</v>
      </c>
      <c r="H196" s="20" cm="1">
        <f t="array" ref="H196">PRODUCT(G196:G231+1)^(1/3)-1</f>
        <v>-0.18368231280437708</v>
      </c>
      <c r="I196" s="21">
        <f t="shared" si="11"/>
        <v>8370.9576151869223</v>
      </c>
      <c r="J196" s="26">
        <v>46.54</v>
      </c>
    </row>
    <row r="197" spans="1:10" ht="14.4" x14ac:dyDescent="0.3">
      <c r="A197" s="17">
        <v>40117</v>
      </c>
      <c r="B197" s="18">
        <v>123842.63840000001</v>
      </c>
      <c r="C197" s="18">
        <v>24.628</v>
      </c>
      <c r="D197" s="18">
        <v>7.1970000000000001</v>
      </c>
      <c r="E197" s="22">
        <v>3.1577405803515424</v>
      </c>
      <c r="F197" s="19">
        <f t="shared" si="9"/>
        <v>5028.5300633425377</v>
      </c>
      <c r="G197" s="20">
        <f t="shared" si="10"/>
        <v>-1.2383716654009724E-2</v>
      </c>
      <c r="H197" s="20" cm="1">
        <f t="array" ref="H197">PRODUCT(G197:G232+1)^(1/3)-1</f>
        <v>-0.16361677749507875</v>
      </c>
      <c r="I197" s="21">
        <f t="shared" si="11"/>
        <v>8448.9399034345843</v>
      </c>
      <c r="J197" s="26">
        <v>46.93</v>
      </c>
    </row>
    <row r="198" spans="1:10" ht="14.4" x14ac:dyDescent="0.3">
      <c r="A198" s="17">
        <v>40086</v>
      </c>
      <c r="B198" s="18">
        <v>128262.06185716001</v>
      </c>
      <c r="C198" s="18">
        <v>25.190999999999999</v>
      </c>
      <c r="D198" s="18">
        <v>7.2140000000000004</v>
      </c>
      <c r="E198" s="22">
        <v>3.2054419828457137</v>
      </c>
      <c r="F198" s="19">
        <f t="shared" si="9"/>
        <v>5091.5827818331945</v>
      </c>
      <c r="G198" s="20">
        <f t="shared" si="10"/>
        <v>-0.13592999950534757</v>
      </c>
      <c r="H198" s="20" cm="1">
        <f t="array" ref="H198">PRODUCT(G198:G233+1)^(1/3)-1</f>
        <v>-0.16436725644070938</v>
      </c>
      <c r="I198" s="21">
        <f t="shared" si="11"/>
        <v>8524.9490109921844</v>
      </c>
      <c r="J198" s="26">
        <v>47.74</v>
      </c>
    </row>
    <row r="199" spans="1:10" ht="14.4" x14ac:dyDescent="0.3">
      <c r="A199" s="17">
        <v>40056</v>
      </c>
      <c r="B199" s="18">
        <v>125800.22538351</v>
      </c>
      <c r="C199" s="18">
        <v>21.349</v>
      </c>
      <c r="D199" s="18">
        <v>8.4480000000000004</v>
      </c>
      <c r="E199" s="22">
        <v>3.2640144678168559</v>
      </c>
      <c r="F199" s="19">
        <f t="shared" si="9"/>
        <v>5892.5582174111196</v>
      </c>
      <c r="G199" s="20">
        <f t="shared" si="10"/>
        <v>-5.3473176146996537E-2</v>
      </c>
      <c r="H199" s="20" cm="1">
        <f t="array" ref="H199">PRODUCT(G199:G234+1)^(1/3)-1</f>
        <v>-0.11721322614644714</v>
      </c>
      <c r="I199" s="21">
        <f t="shared" si="11"/>
        <v>8602.9800616548891</v>
      </c>
      <c r="J199" s="26">
        <v>48.69</v>
      </c>
    </row>
    <row r="200" spans="1:10" ht="14.4" x14ac:dyDescent="0.3">
      <c r="A200" s="17">
        <v>40025</v>
      </c>
      <c r="B200" s="18">
        <v>118682.03523217999</v>
      </c>
      <c r="C200" s="18">
        <v>19.064</v>
      </c>
      <c r="D200" s="18">
        <v>9.26</v>
      </c>
      <c r="E200" s="22">
        <v>3.2555435984954917</v>
      </c>
      <c r="F200" s="19">
        <f t="shared" si="9"/>
        <v>6225.4529601437262</v>
      </c>
      <c r="G200" s="20">
        <f t="shared" si="10"/>
        <v>-2.3083178196272924E-2</v>
      </c>
      <c r="H200" s="20" cm="1">
        <f t="array" ref="H200">PRODUCT(G200:G235+1)^(1/3)-1</f>
        <v>-9.4762042602709928E-2</v>
      </c>
      <c r="I200" s="21">
        <f t="shared" si="11"/>
        <v>8666.0131278000918</v>
      </c>
      <c r="J200" s="26">
        <v>47.83</v>
      </c>
    </row>
    <row r="201" spans="1:10" ht="14.4" x14ac:dyDescent="0.3">
      <c r="A201" s="17">
        <v>39994</v>
      </c>
      <c r="B201" s="18">
        <v>109231.90880549999</v>
      </c>
      <c r="C201" s="18">
        <v>17.140999999999998</v>
      </c>
      <c r="D201" s="18">
        <v>9.6690000000000005</v>
      </c>
      <c r="E201" s="22">
        <v>3.2484590210582809</v>
      </c>
      <c r="F201" s="19">
        <f t="shared" si="9"/>
        <v>6372.5517067557321</v>
      </c>
      <c r="G201" s="20">
        <f t="shared" si="10"/>
        <v>-8.8132328348500377E-2</v>
      </c>
      <c r="H201" s="20" cm="1">
        <f t="array" ref="H201">PRODUCT(G201:G236+1)^(1/3)-1</f>
        <v>-7.4778750578106012E-2</v>
      </c>
      <c r="I201" s="21">
        <f t="shared" si="11"/>
        <v>8724.1217032204822</v>
      </c>
      <c r="J201" s="26">
        <v>47.75</v>
      </c>
    </row>
    <row r="202" spans="1:10" ht="14.4" x14ac:dyDescent="0.3">
      <c r="A202" s="17">
        <v>39964</v>
      </c>
      <c r="B202" s="18">
        <v>108279.21551999998</v>
      </c>
      <c r="C202" s="18">
        <v>15.494</v>
      </c>
      <c r="D202" s="18">
        <v>10.599</v>
      </c>
      <c r="E202" s="22">
        <v>3.2161212409694162</v>
      </c>
      <c r="F202" s="19">
        <f t="shared" si="9"/>
        <v>6988.4610507293137</v>
      </c>
      <c r="G202" s="20">
        <f t="shared" si="10"/>
        <v>-6.5407746479735018E-2</v>
      </c>
      <c r="H202" s="20" cm="1">
        <f t="array" ref="H202">PRODUCT(G202:G237+1)^(1/3)-1</f>
        <v>-5.0700611901672854E-2</v>
      </c>
      <c r="I202" s="21">
        <f t="shared" si="11"/>
        <v>8781.4770689879151</v>
      </c>
      <c r="J202" s="26">
        <v>47.12</v>
      </c>
    </row>
    <row r="203" spans="1:10" ht="14.4" x14ac:dyDescent="0.3">
      <c r="A203" s="17">
        <v>39933</v>
      </c>
      <c r="B203" s="18">
        <v>104782.91932659</v>
      </c>
      <c r="C203" s="18">
        <v>14.013</v>
      </c>
      <c r="D203" s="18">
        <v>11.124000000000001</v>
      </c>
      <c r="E203" s="22">
        <v>3.2291287905755306</v>
      </c>
      <c r="F203" s="19">
        <f t="shared" si="9"/>
        <v>7477.5507975872406</v>
      </c>
      <c r="G203" s="20">
        <f t="shared" si="10"/>
        <v>-3.328087793334078E-2</v>
      </c>
      <c r="H203" s="20" cm="1">
        <f t="array" ref="H203">PRODUCT(G203:G238+1)^(1/3)-1</f>
        <v>-1.2825505663192072E-2</v>
      </c>
      <c r="I203" s="21">
        <f t="shared" si="11"/>
        <v>8826.3024694443793</v>
      </c>
      <c r="J203" s="26">
        <v>49.73</v>
      </c>
    </row>
    <row r="204" spans="1:10" ht="14.4" x14ac:dyDescent="0.3">
      <c r="A204" s="17">
        <v>39903</v>
      </c>
      <c r="B204" s="18">
        <v>95805.433103379997</v>
      </c>
      <c r="C204" s="18">
        <v>12.385999999999999</v>
      </c>
      <c r="D204" s="18">
        <v>11.446999999999999</v>
      </c>
      <c r="E204" s="22">
        <v>3.1941096943611358</v>
      </c>
      <c r="F204" s="19">
        <f t="shared" si="9"/>
        <v>7734.9776443872115</v>
      </c>
      <c r="G204" s="20">
        <f t="shared" si="10"/>
        <v>-0.17625630306154816</v>
      </c>
      <c r="H204" s="20" cm="1">
        <f t="array" ref="H204">PRODUCT(G204:G239+1)^(1/3)-1</f>
        <v>1.0546606955449178E-2</v>
      </c>
      <c r="I204" s="21">
        <f t="shared" si="11"/>
        <v>8860.8858456458456</v>
      </c>
      <c r="J204" s="26">
        <v>50.57</v>
      </c>
    </row>
    <row r="205" spans="1:10" ht="14.4" x14ac:dyDescent="0.3">
      <c r="A205" s="17">
        <v>39872</v>
      </c>
      <c r="B205" s="18">
        <v>89862.58266</v>
      </c>
      <c r="C205" s="18">
        <v>9.57</v>
      </c>
      <c r="D205" s="18">
        <v>12.946999999999999</v>
      </c>
      <c r="E205" s="22">
        <v>3.1994448472592918</v>
      </c>
      <c r="F205" s="19">
        <f t="shared" si="9"/>
        <v>9390.0295360501568</v>
      </c>
      <c r="G205" s="20">
        <f t="shared" si="10"/>
        <v>-3.1423749869320616E-2</v>
      </c>
      <c r="H205" s="20" cm="1">
        <f t="array" ref="H205">PRODUCT(G205:G240+1)^(1/3)-1</f>
        <v>9.5638584931491133E-2</v>
      </c>
      <c r="I205" s="21">
        <f t="shared" si="11"/>
        <v>8890.5150088368628</v>
      </c>
      <c r="J205" s="26">
        <v>51.01</v>
      </c>
    </row>
    <row r="206" spans="1:10" ht="14.4" x14ac:dyDescent="0.3">
      <c r="A206" s="17">
        <v>39844</v>
      </c>
      <c r="B206" s="18">
        <v>95870.616349999997</v>
      </c>
      <c r="C206" s="18">
        <v>9.8889999999999993</v>
      </c>
      <c r="D206" s="18">
        <v>13.654</v>
      </c>
      <c r="E206" s="22">
        <v>3.0465451216985295</v>
      </c>
      <c r="F206" s="19">
        <f t="shared" si="9"/>
        <v>9694.6724997471938</v>
      </c>
      <c r="G206" s="20">
        <f t="shared" si="10"/>
        <v>1.8865647821818987E-2</v>
      </c>
      <c r="H206" s="20" cm="1">
        <f t="array" ref="H206">PRODUCT(G206:G241+1)^(1/3)-1</f>
        <v>0.11007329034430247</v>
      </c>
      <c r="I206" s="21">
        <f t="shared" si="11"/>
        <v>8877.0146162094752</v>
      </c>
      <c r="J206" s="26">
        <v>48.85</v>
      </c>
    </row>
    <row r="207" spans="1:10" ht="14.4" x14ac:dyDescent="0.3">
      <c r="A207" s="17">
        <v>39813</v>
      </c>
      <c r="B207" s="18">
        <v>104581.1542204</v>
      </c>
      <c r="C207" s="18">
        <v>10.991</v>
      </c>
      <c r="D207" s="18">
        <v>13.14</v>
      </c>
      <c r="E207" s="22">
        <v>3.015555101967049</v>
      </c>
      <c r="F207" s="19">
        <f t="shared" si="9"/>
        <v>9515.1627895914844</v>
      </c>
      <c r="G207" s="20">
        <f t="shared" si="10"/>
        <v>-1.8472193103246992E-2</v>
      </c>
      <c r="H207" s="20"/>
      <c r="I207" s="21">
        <f t="shared" si="11"/>
        <v>8854.3018972223163</v>
      </c>
      <c r="J207" s="26">
        <v>48.62</v>
      </c>
    </row>
    <row r="208" spans="1:10" ht="14.4" x14ac:dyDescent="0.3">
      <c r="A208" s="17">
        <v>39782</v>
      </c>
      <c r="B208" s="18">
        <v>103330.86791999999</v>
      </c>
      <c r="C208" s="18">
        <v>10.659000000000001</v>
      </c>
      <c r="D208" s="18">
        <v>13.441000000000001</v>
      </c>
      <c r="E208" s="22">
        <v>2.9314601145205454</v>
      </c>
      <c r="F208" s="19">
        <f t="shared" si="9"/>
        <v>9694.2366000562888</v>
      </c>
      <c r="G208" s="20">
        <f t="shared" si="10"/>
        <v>-1.042627577462063E-2</v>
      </c>
      <c r="H208" s="20"/>
      <c r="I208" s="21">
        <f t="shared" si="11"/>
        <v>8835.4201574403414</v>
      </c>
      <c r="J208" s="26">
        <v>49.58</v>
      </c>
    </row>
    <row r="209" spans="1:10" ht="14.4" x14ac:dyDescent="0.3">
      <c r="A209" s="17">
        <v>39752</v>
      </c>
      <c r="B209" s="18">
        <v>109925.13869987999</v>
      </c>
      <c r="C209" s="18">
        <v>11.221</v>
      </c>
      <c r="D209" s="18">
        <v>13.554</v>
      </c>
      <c r="E209" s="22">
        <v>2.8014737149802738</v>
      </c>
      <c r="F209" s="19">
        <f t="shared" si="9"/>
        <v>9796.3763211728001</v>
      </c>
      <c r="G209" s="20">
        <f t="shared" si="10"/>
        <v>9.4552204079045854E-3</v>
      </c>
      <c r="H209" s="20"/>
      <c r="I209" s="21">
        <f t="shared" si="11"/>
        <v>8810.1608503045773</v>
      </c>
      <c r="J209" s="26">
        <v>49.33</v>
      </c>
    </row>
    <row r="210" spans="1:10" ht="14.4" x14ac:dyDescent="0.3">
      <c r="A210" s="17">
        <v>39721</v>
      </c>
      <c r="B210" s="18">
        <v>128741.44949606</v>
      </c>
      <c r="C210" s="18">
        <v>13.266</v>
      </c>
      <c r="D210" s="18">
        <v>13.842000000000001</v>
      </c>
      <c r="E210" s="22">
        <v>2.7634187810608113</v>
      </c>
      <c r="F210" s="19">
        <f t="shared" si="9"/>
        <v>9704.6170281968934</v>
      </c>
      <c r="G210" s="20">
        <f t="shared" si="10"/>
        <v>4.5972969900902605E-3</v>
      </c>
      <c r="H210" s="20"/>
      <c r="I210" s="21">
        <f t="shared" si="11"/>
        <v>8780.2755330055406</v>
      </c>
      <c r="J210" s="26">
        <v>46.82</v>
      </c>
    </row>
    <row r="211" spans="1:10" ht="14.4" x14ac:dyDescent="0.3">
      <c r="A211" s="17">
        <v>39691</v>
      </c>
      <c r="B211" s="18">
        <v>136914.10235</v>
      </c>
      <c r="C211" s="18">
        <v>14.173</v>
      </c>
      <c r="D211" s="18">
        <v>14.565</v>
      </c>
      <c r="E211" s="22">
        <v>2.6755094634542509</v>
      </c>
      <c r="F211" s="19">
        <f t="shared" si="9"/>
        <v>9660.2061913497491</v>
      </c>
      <c r="G211" s="20">
        <f t="shared" si="10"/>
        <v>8.8035483623984945E-3</v>
      </c>
      <c r="H211" s="20"/>
      <c r="I211" s="21">
        <f t="shared" si="11"/>
        <v>8751.3898612808098</v>
      </c>
      <c r="J211" s="26">
        <v>43.87</v>
      </c>
    </row>
    <row r="212" spans="1:10" ht="14.4" x14ac:dyDescent="0.3">
      <c r="A212" s="17">
        <v>39660</v>
      </c>
      <c r="B212" s="18">
        <v>134464.84755047999</v>
      </c>
      <c r="C212" s="18">
        <v>14.042</v>
      </c>
      <c r="D212" s="18">
        <v>14.579000000000001</v>
      </c>
      <c r="E212" s="22">
        <v>2.6713446084035031</v>
      </c>
      <c r="F212" s="19">
        <f t="shared" si="9"/>
        <v>9575.90425512605</v>
      </c>
      <c r="G212" s="20">
        <f t="shared" si="10"/>
        <v>-1.5067415043935717E-2</v>
      </c>
      <c r="H212" s="20"/>
      <c r="I212" s="21">
        <f t="shared" si="11"/>
        <v>8722.0732054721357</v>
      </c>
      <c r="J212" s="26">
        <v>42.48</v>
      </c>
    </row>
    <row r="213" spans="1:10" ht="14.4" x14ac:dyDescent="0.3">
      <c r="A213" s="17">
        <v>39629</v>
      </c>
      <c r="B213" s="18">
        <v>139292.76212271</v>
      </c>
      <c r="C213" s="18">
        <v>14.327</v>
      </c>
      <c r="D213" s="18">
        <v>14.593</v>
      </c>
      <c r="E213" s="22">
        <v>2.6477937517900729</v>
      </c>
      <c r="F213" s="19">
        <f t="shared" si="9"/>
        <v>9722.3956252327771</v>
      </c>
      <c r="G213" s="20">
        <f t="shared" si="10"/>
        <v>-2.9743827241883736E-3</v>
      </c>
      <c r="H213" s="20"/>
      <c r="I213" s="21">
        <f t="shared" si="11"/>
        <v>8693.6121704836733</v>
      </c>
      <c r="J213" s="26">
        <v>42.93</v>
      </c>
    </row>
    <row r="214" spans="1:10" ht="14.4" x14ac:dyDescent="0.3">
      <c r="A214" s="17">
        <v>39599</v>
      </c>
      <c r="B214" s="18">
        <v>148650.34191999998</v>
      </c>
      <c r="C214" s="18">
        <v>15.244</v>
      </c>
      <c r="D214" s="18">
        <v>14.81</v>
      </c>
      <c r="E214" s="22">
        <v>2.6352481356316293</v>
      </c>
      <c r="F214" s="19">
        <f t="shared" si="9"/>
        <v>9751.4000209918649</v>
      </c>
      <c r="G214" s="20">
        <f t="shared" si="10"/>
        <v>4.1875068330230691E-2</v>
      </c>
      <c r="H214" s="20"/>
      <c r="I214" s="21">
        <f t="shared" si="11"/>
        <v>8658.1368789405988</v>
      </c>
      <c r="J214" s="26">
        <v>42.16</v>
      </c>
    </row>
    <row r="215" spans="1:10" ht="14.4" x14ac:dyDescent="0.3">
      <c r="A215" s="17">
        <v>39568</v>
      </c>
      <c r="B215" s="18">
        <v>140513.74580810001</v>
      </c>
      <c r="C215" s="18">
        <v>15.013</v>
      </c>
      <c r="D215" s="18">
        <v>14.858000000000001</v>
      </c>
      <c r="E215" s="22">
        <v>2.5166583851544466</v>
      </c>
      <c r="F215" s="19">
        <f t="shared" si="9"/>
        <v>9359.4715118963577</v>
      </c>
      <c r="G215" s="20">
        <f t="shared" si="10"/>
        <v>3.1349470404744562E-3</v>
      </c>
      <c r="H215" s="20"/>
      <c r="I215" s="21">
        <f t="shared" si="11"/>
        <v>8619.0917667244812</v>
      </c>
      <c r="J215" s="26">
        <v>40.46</v>
      </c>
    </row>
    <row r="216" spans="1:10" ht="14.4" x14ac:dyDescent="0.3">
      <c r="A216" s="17">
        <v>39538</v>
      </c>
      <c r="B216" s="18">
        <v>132078.61924589</v>
      </c>
      <c r="C216" s="18">
        <v>14.156000000000001</v>
      </c>
      <c r="D216" s="18">
        <v>14.878</v>
      </c>
      <c r="E216" s="22">
        <v>2.4287124374051006</v>
      </c>
      <c r="F216" s="19">
        <f t="shared" si="9"/>
        <v>9330.2217608003666</v>
      </c>
      <c r="G216" s="20">
        <f t="shared" si="10"/>
        <v>-1.4573199569930972E-2</v>
      </c>
      <c r="H216" s="20"/>
      <c r="I216" s="21">
        <f t="shared" si="11"/>
        <v>8591.6702946810819</v>
      </c>
      <c r="J216" s="26">
        <v>40.03</v>
      </c>
    </row>
    <row r="217" spans="1:10" ht="14.4" x14ac:dyDescent="0.3">
      <c r="A217" s="17">
        <v>39507</v>
      </c>
      <c r="B217" s="18">
        <v>132990.39035167999</v>
      </c>
      <c r="C217" s="18">
        <v>14.045999999999999</v>
      </c>
      <c r="D217" s="18">
        <v>15.754</v>
      </c>
      <c r="E217" s="22">
        <v>2.3607263659638278</v>
      </c>
      <c r="F217" s="19">
        <f t="shared" si="9"/>
        <v>9468.2037841150504</v>
      </c>
      <c r="G217" s="20">
        <f t="shared" si="10"/>
        <v>2.8970513728454383E-2</v>
      </c>
      <c r="H217" s="20"/>
      <c r="I217" s="21">
        <f t="shared" si="11"/>
        <v>8563.2644690611069</v>
      </c>
      <c r="J217" s="26">
        <v>39.92</v>
      </c>
    </row>
    <row r="218" spans="1:10" ht="14.4" x14ac:dyDescent="0.3">
      <c r="A218" s="17">
        <v>39478</v>
      </c>
      <c r="B218" s="18">
        <v>131620.08543592002</v>
      </c>
      <c r="C218" s="18">
        <v>14.304</v>
      </c>
      <c r="D218" s="18">
        <v>15.798</v>
      </c>
      <c r="E218" s="22">
        <v>2.3280268421013828</v>
      </c>
      <c r="F218" s="19">
        <f t="shared" si="9"/>
        <v>9201.6278968064889</v>
      </c>
      <c r="G218" s="20">
        <f t="shared" si="10"/>
        <v>8.5072084051034391E-3</v>
      </c>
      <c r="H218" s="20"/>
      <c r="I218" s="21">
        <f t="shared" si="11"/>
        <v>8527.0668964589495</v>
      </c>
      <c r="J218" s="26">
        <v>39.28</v>
      </c>
    </row>
    <row r="219" spans="1:10" ht="14.4" x14ac:dyDescent="0.3">
      <c r="A219" s="17">
        <v>39447</v>
      </c>
      <c r="B219" s="18">
        <v>142982.33028883999</v>
      </c>
      <c r="C219" s="18">
        <v>15.670999999999999</v>
      </c>
      <c r="D219" s="18">
        <v>15.814</v>
      </c>
      <c r="E219" s="22">
        <v>2.3094987224532071</v>
      </c>
      <c r="F219" s="19">
        <f t="shared" si="9"/>
        <v>9124.0080587607681</v>
      </c>
      <c r="G219" s="20">
        <f t="shared" si="10"/>
        <v>-1.0435222647677822E-2</v>
      </c>
      <c r="H219" s="20"/>
      <c r="I219" s="21">
        <f t="shared" si="11"/>
        <v>8498.9601881111375</v>
      </c>
      <c r="J219" s="26">
        <v>39.409999999999997</v>
      </c>
    </row>
    <row r="220" spans="1:10" ht="14.4" x14ac:dyDescent="0.3">
      <c r="A220" s="17">
        <v>39416</v>
      </c>
      <c r="B220" s="18">
        <v>145255.39534896001</v>
      </c>
      <c r="C220" s="18">
        <v>15.754</v>
      </c>
      <c r="D220" s="18">
        <v>16.045000000000002</v>
      </c>
      <c r="E220" s="22">
        <v>2.3000016812150914</v>
      </c>
      <c r="F220" s="19">
        <f t="shared" si="9"/>
        <v>9220.2231400888668</v>
      </c>
      <c r="G220" s="20">
        <f t="shared" si="10"/>
        <v>1.3171652266088518E-2</v>
      </c>
      <c r="H220" s="20"/>
      <c r="I220" s="21">
        <f t="shared" si="11"/>
        <v>8471.7841937350659</v>
      </c>
      <c r="J220" s="26">
        <v>39.520000000000003</v>
      </c>
    </row>
    <row r="221" spans="1:10" ht="14.4" x14ac:dyDescent="0.3">
      <c r="A221" s="17">
        <v>39386</v>
      </c>
      <c r="B221" s="18">
        <v>150219.58325920001</v>
      </c>
      <c r="C221" s="18">
        <v>16.507000000000001</v>
      </c>
      <c r="D221" s="18">
        <v>16.09</v>
      </c>
      <c r="E221" s="22">
        <v>2.3188395832818065</v>
      </c>
      <c r="F221" s="19">
        <f t="shared" si="9"/>
        <v>9100.3564099594114</v>
      </c>
      <c r="G221" s="20">
        <f t="shared" si="10"/>
        <v>5.1139264199973056E-4</v>
      </c>
      <c r="H221" s="20"/>
      <c r="I221" s="21">
        <f t="shared" si="11"/>
        <v>8437.7642416280742</v>
      </c>
      <c r="J221" s="26">
        <v>39.200000000000003</v>
      </c>
    </row>
    <row r="222" spans="1:10" ht="14.4" x14ac:dyDescent="0.3">
      <c r="A222" s="17">
        <v>39355</v>
      </c>
      <c r="B222" s="18">
        <v>147459.56837999998</v>
      </c>
      <c r="C222" s="18">
        <v>16.212</v>
      </c>
      <c r="D222" s="18">
        <v>16.074000000000002</v>
      </c>
      <c r="E222" s="22">
        <v>2.2975143134172704</v>
      </c>
      <c r="F222" s="19">
        <f t="shared" si="9"/>
        <v>9095.7049333826781</v>
      </c>
      <c r="G222" s="20">
        <f t="shared" si="10"/>
        <v>2.6267362051897392E-2</v>
      </c>
      <c r="H222" s="20"/>
      <c r="I222" s="21">
        <f t="shared" si="11"/>
        <v>8406.2122336122975</v>
      </c>
      <c r="J222" s="26">
        <v>39.659999999999997</v>
      </c>
    </row>
    <row r="223" spans="1:10" ht="14.4" x14ac:dyDescent="0.3">
      <c r="A223" s="17">
        <v>39325</v>
      </c>
      <c r="B223" s="18">
        <v>144243.69639392002</v>
      </c>
      <c r="C223" s="18">
        <v>16.274999999999999</v>
      </c>
      <c r="D223" s="18">
        <v>15.802</v>
      </c>
      <c r="E223" s="22">
        <v>2.2783483319307241</v>
      </c>
      <c r="F223" s="19">
        <f t="shared" si="9"/>
        <v>8862.8999320380972</v>
      </c>
      <c r="G223" s="20">
        <f t="shared" si="10"/>
        <v>1.5396402283948118E-2</v>
      </c>
      <c r="H223" s="20"/>
      <c r="I223" s="21">
        <f t="shared" si="11"/>
        <v>8371.7375986237785</v>
      </c>
      <c r="J223" s="26">
        <v>40.64</v>
      </c>
    </row>
    <row r="224" spans="1:10" ht="14.4" x14ac:dyDescent="0.3">
      <c r="A224" s="17">
        <v>39294</v>
      </c>
      <c r="B224" s="18">
        <v>142754.81778587998</v>
      </c>
      <c r="C224" s="18">
        <v>16.355</v>
      </c>
      <c r="D224" s="18">
        <v>15.784000000000001</v>
      </c>
      <c r="E224" s="22">
        <v>2.2975496441265175</v>
      </c>
      <c r="F224" s="19">
        <f t="shared" si="9"/>
        <v>8728.5122461559131</v>
      </c>
      <c r="G224" s="20">
        <f t="shared" si="10"/>
        <v>-5.3441233517359521E-5</v>
      </c>
      <c r="H224" s="20"/>
      <c r="I224" s="21">
        <f t="shared" si="11"/>
        <v>8345.8869494967075</v>
      </c>
      <c r="J224" s="26">
        <v>40.19</v>
      </c>
    </row>
    <row r="225" spans="1:10" ht="14.4" x14ac:dyDescent="0.3">
      <c r="A225" s="17">
        <v>39263</v>
      </c>
      <c r="B225" s="18">
        <v>147222.95532000001</v>
      </c>
      <c r="C225" s="18">
        <v>16.866</v>
      </c>
      <c r="D225" s="18">
        <v>15.93</v>
      </c>
      <c r="E225" s="22">
        <v>2.3012138662765302</v>
      </c>
      <c r="F225" s="19">
        <f t="shared" si="9"/>
        <v>8728.9787335467809</v>
      </c>
      <c r="G225" s="20">
        <f t="shared" si="10"/>
        <v>2.3372971194869807E-2</v>
      </c>
      <c r="H225" s="20"/>
      <c r="I225" s="21">
        <f t="shared" si="11"/>
        <v>8324.6299885711978</v>
      </c>
      <c r="J225" s="26">
        <v>40.53</v>
      </c>
    </row>
    <row r="226" spans="1:10" ht="14.4" x14ac:dyDescent="0.3">
      <c r="A226" s="17">
        <v>39233</v>
      </c>
      <c r="B226" s="18">
        <v>147818.24975868</v>
      </c>
      <c r="C226" s="18">
        <v>17.329999999999998</v>
      </c>
      <c r="D226" s="18">
        <v>15.928000000000001</v>
      </c>
      <c r="E226" s="22">
        <v>2.326143107297729</v>
      </c>
      <c r="F226" s="19">
        <f t="shared" si="9"/>
        <v>8529.6162584350841</v>
      </c>
      <c r="G226" s="20">
        <f t="shared" si="10"/>
        <v>-1.6826803720275563E-2</v>
      </c>
      <c r="H226" s="20"/>
      <c r="I226" s="21">
        <f t="shared" si="11"/>
        <v>8300.8447682785154</v>
      </c>
      <c r="J226" s="26">
        <v>40.380000000000003</v>
      </c>
    </row>
    <row r="227" spans="1:10" ht="14.4" x14ac:dyDescent="0.3">
      <c r="A227" s="17">
        <v>39202</v>
      </c>
      <c r="B227" s="18">
        <v>146175.16515114999</v>
      </c>
      <c r="C227" s="18">
        <v>16.849</v>
      </c>
      <c r="D227" s="18">
        <v>15.965999999999999</v>
      </c>
      <c r="E227" s="22">
        <v>2.3204641149461969</v>
      </c>
      <c r="F227" s="19">
        <f t="shared" si="9"/>
        <v>8675.5988575672145</v>
      </c>
      <c r="G227" s="20">
        <f t="shared" si="10"/>
        <v>-2.9972105914664926E-2</v>
      </c>
      <c r="H227" s="20"/>
      <c r="I227" s="21">
        <f t="shared" si="11"/>
        <v>8286.5465501437266</v>
      </c>
      <c r="J227" s="26">
        <v>41.05</v>
      </c>
    </row>
    <row r="228" spans="1:10" ht="14.4" x14ac:dyDescent="0.3">
      <c r="A228" s="17">
        <v>39172</v>
      </c>
      <c r="B228" s="18">
        <v>147060.58752</v>
      </c>
      <c r="C228" s="18">
        <v>16.443000000000001</v>
      </c>
      <c r="D228" s="18">
        <v>15.948</v>
      </c>
      <c r="E228" s="22">
        <v>2.2799593104884108</v>
      </c>
      <c r="F228" s="19">
        <f t="shared" si="9"/>
        <v>8943.6591570881228</v>
      </c>
      <c r="G228" s="20">
        <f t="shared" si="10"/>
        <v>1.8917735254432078E-2</v>
      </c>
      <c r="H228" s="20"/>
      <c r="I228" s="21">
        <f t="shared" si="11"/>
        <v>8260.6097296488297</v>
      </c>
      <c r="J228" s="26">
        <v>43.12</v>
      </c>
    </row>
    <row r="229" spans="1:10" ht="14.4" x14ac:dyDescent="0.3">
      <c r="A229" s="17">
        <v>39141</v>
      </c>
      <c r="B229" s="18">
        <v>147665.67780089</v>
      </c>
      <c r="C229" s="18">
        <v>16.823</v>
      </c>
      <c r="D229" s="18">
        <v>15.808</v>
      </c>
      <c r="E229" s="22">
        <v>2.2864433258005024</v>
      </c>
      <c r="F229" s="19">
        <f t="shared" si="9"/>
        <v>8777.6067170474944</v>
      </c>
      <c r="G229" s="20">
        <f t="shared" si="10"/>
        <v>1.0459161815154383E-2</v>
      </c>
      <c r="H229" s="20"/>
      <c r="I229" s="21">
        <f t="shared" si="11"/>
        <v>8211.8204848317382</v>
      </c>
      <c r="J229" s="26">
        <v>44.09</v>
      </c>
    </row>
    <row r="230" spans="1:10" ht="14.4" x14ac:dyDescent="0.3">
      <c r="A230" s="17">
        <v>39113</v>
      </c>
      <c r="B230" s="18">
        <v>148404.44702848</v>
      </c>
      <c r="C230" s="18">
        <v>17.084</v>
      </c>
      <c r="D230" s="18">
        <v>15.782</v>
      </c>
      <c r="E230" s="22">
        <v>2.2920226065725746</v>
      </c>
      <c r="F230" s="19">
        <f t="shared" si="9"/>
        <v>8686.7505870100686</v>
      </c>
      <c r="G230" s="20">
        <f t="shared" si="10"/>
        <v>-3.7274726891450838E-3</v>
      </c>
      <c r="H230" s="20"/>
      <c r="I230" s="21">
        <f t="shared" si="11"/>
        <v>8168.2984669689858</v>
      </c>
      <c r="J230" s="26">
        <v>44.08</v>
      </c>
    </row>
    <row r="231" spans="1:10" ht="14.4" x14ac:dyDescent="0.3">
      <c r="A231" s="17">
        <v>39082</v>
      </c>
      <c r="B231" s="18">
        <v>146806.03511999999</v>
      </c>
      <c r="C231" s="18">
        <v>16.837</v>
      </c>
      <c r="D231" s="18">
        <v>15.836</v>
      </c>
      <c r="E231" s="22">
        <v>2.2887581220464748</v>
      </c>
      <c r="F231" s="19">
        <f t="shared" si="9"/>
        <v>8719.2513583179898</v>
      </c>
      <c r="G231" s="20">
        <f t="shared" si="10"/>
        <v>-8.5146254031017721E-3</v>
      </c>
      <c r="H231" s="20"/>
      <c r="I231" s="21">
        <f t="shared" si="11"/>
        <v>8125.0941236322296</v>
      </c>
      <c r="J231" s="26">
        <v>44.12</v>
      </c>
    </row>
    <row r="232" spans="1:10" ht="14.4" x14ac:dyDescent="0.3">
      <c r="A232" s="17">
        <v>39051</v>
      </c>
      <c r="B232" s="18">
        <v>145446.11742140001</v>
      </c>
      <c r="C232" s="18">
        <v>16.539000000000001</v>
      </c>
      <c r="D232" s="18">
        <v>15.875</v>
      </c>
      <c r="E232" s="22">
        <v>2.2812332401564772</v>
      </c>
      <c r="F232" s="19">
        <f t="shared" si="9"/>
        <v>8794.1300817098981</v>
      </c>
      <c r="G232" s="20">
        <f t="shared" si="10"/>
        <v>2.3217058496862286E-2</v>
      </c>
      <c r="H232" s="20"/>
      <c r="I232" s="21">
        <f t="shared" si="11"/>
        <v>8071.0798295698878</v>
      </c>
      <c r="J232" s="26">
        <v>44.6</v>
      </c>
    </row>
    <row r="233" spans="1:10" ht="14.4" x14ac:dyDescent="0.3">
      <c r="A233" s="17">
        <v>39021</v>
      </c>
      <c r="B233" s="18">
        <v>142988.17729284</v>
      </c>
      <c r="C233" s="18">
        <v>16.637</v>
      </c>
      <c r="D233" s="18">
        <v>15.835000000000001</v>
      </c>
      <c r="E233" s="22">
        <v>2.2869037184201302</v>
      </c>
      <c r="F233" s="19">
        <f t="shared" si="9"/>
        <v>8594.5890060010825</v>
      </c>
      <c r="G233" s="20">
        <f t="shared" si="10"/>
        <v>-1.5039868812524504E-2</v>
      </c>
      <c r="H233" s="20"/>
      <c r="I233" s="21">
        <f t="shared" si="11"/>
        <v>7998.7748043558877</v>
      </c>
      <c r="J233" s="26">
        <v>44.92</v>
      </c>
    </row>
    <row r="234" spans="1:10" ht="14.4" x14ac:dyDescent="0.3">
      <c r="A234" s="17">
        <v>38990</v>
      </c>
      <c r="B234" s="18">
        <v>140965.69088999997</v>
      </c>
      <c r="C234" s="18">
        <v>16.155000000000001</v>
      </c>
      <c r="D234" s="18">
        <v>15.84</v>
      </c>
      <c r="E234" s="22">
        <v>2.2892401472539792</v>
      </c>
      <c r="F234" s="19">
        <f t="shared" si="9"/>
        <v>8725.8242581244176</v>
      </c>
      <c r="G234" s="20">
        <f t="shared" si="10"/>
        <v>1.8755657075079091E-2</v>
      </c>
      <c r="H234" s="20"/>
      <c r="I234" s="21">
        <f t="shared" si="11"/>
        <v>7932.5732263953087</v>
      </c>
      <c r="J234" s="26">
        <v>45.91</v>
      </c>
    </row>
    <row r="235" spans="1:10" ht="14.4" x14ac:dyDescent="0.3">
      <c r="A235" s="17">
        <v>38960</v>
      </c>
      <c r="B235" s="18">
        <v>141034.23253303999</v>
      </c>
      <c r="C235" s="18">
        <v>16.466000000000001</v>
      </c>
      <c r="D235" s="18">
        <v>15.476000000000001</v>
      </c>
      <c r="E235" s="22">
        <v>2.2893210234031791</v>
      </c>
      <c r="F235" s="19">
        <f t="shared" si="9"/>
        <v>8565.1787035734233</v>
      </c>
      <c r="G235" s="20">
        <f t="shared" si="10"/>
        <v>2.0595714962736711E-2</v>
      </c>
      <c r="H235" s="20"/>
      <c r="I235" s="21">
        <f t="shared" si="11"/>
        <v>7833.416847429171</v>
      </c>
      <c r="J235" s="26">
        <v>46.48</v>
      </c>
    </row>
    <row r="236" spans="1:10" ht="14.4" x14ac:dyDescent="0.3">
      <c r="A236" s="17">
        <v>38929</v>
      </c>
      <c r="B236" s="18">
        <v>137525.15453249999</v>
      </c>
      <c r="C236" s="18">
        <v>16.387</v>
      </c>
      <c r="D236" s="18">
        <v>15.227</v>
      </c>
      <c r="E236" s="22">
        <v>2.2718902956259113</v>
      </c>
      <c r="F236" s="19">
        <f t="shared" si="9"/>
        <v>8392.3326131994872</v>
      </c>
      <c r="G236" s="20">
        <f t="shared" si="10"/>
        <v>4.3052373522067811E-2</v>
      </c>
      <c r="H236" s="20"/>
      <c r="I236" s="21">
        <f t="shared" si="11"/>
        <v>7728.8794394085635</v>
      </c>
      <c r="J236" s="26">
        <v>46.5</v>
      </c>
    </row>
    <row r="237" spans="1:10" ht="14.4" x14ac:dyDescent="0.3">
      <c r="A237" s="17">
        <v>38898</v>
      </c>
      <c r="B237" s="18">
        <v>134849.88689712001</v>
      </c>
      <c r="C237" s="18">
        <v>16.760000000000002</v>
      </c>
      <c r="D237" s="18">
        <v>15.116</v>
      </c>
      <c r="E237" s="22">
        <v>2.2665045397917138</v>
      </c>
      <c r="F237" s="19">
        <f t="shared" si="9"/>
        <v>8045.9359723818616</v>
      </c>
      <c r="G237" s="20">
        <f t="shared" si="10"/>
        <v>-1.5071677820584717E-2</v>
      </c>
      <c r="H237" s="20"/>
      <c r="I237" s="21">
        <f t="shared" si="11"/>
        <v>7618.3039104434101</v>
      </c>
      <c r="J237" s="26">
        <v>45.88</v>
      </c>
    </row>
    <row r="238" spans="1:10" ht="14.4" x14ac:dyDescent="0.3">
      <c r="A238" s="17">
        <v>38868</v>
      </c>
      <c r="B238" s="18">
        <v>136153.67923927002</v>
      </c>
      <c r="C238" s="18">
        <v>16.667000000000002</v>
      </c>
      <c r="D238" s="18">
        <v>15.097</v>
      </c>
      <c r="E238" s="22">
        <v>2.2743650715422392</v>
      </c>
      <c r="F238" s="19">
        <f t="shared" si="9"/>
        <v>8169.057373208736</v>
      </c>
      <c r="G238" s="20">
        <f t="shared" si="10"/>
        <v>5.0979759231104316E-2</v>
      </c>
      <c r="H238" s="20"/>
      <c r="I238" s="21">
        <f t="shared" si="11"/>
        <v>7532.7774980557206</v>
      </c>
      <c r="J238" s="26">
        <v>46.31</v>
      </c>
    </row>
    <row r="239" spans="1:10" ht="14.4" x14ac:dyDescent="0.3">
      <c r="A239" s="17">
        <v>38837</v>
      </c>
      <c r="B239" s="18">
        <v>136676.94700000001</v>
      </c>
      <c r="C239" s="18">
        <v>17.584</v>
      </c>
      <c r="D239" s="18">
        <v>15.083</v>
      </c>
      <c r="E239" s="22">
        <v>2.1926425749956957</v>
      </c>
      <c r="F239" s="19">
        <f t="shared" si="9"/>
        <v>7772.801808462239</v>
      </c>
      <c r="G239" s="20">
        <f t="shared" si="10"/>
        <v>3.7021059410859314E-2</v>
      </c>
      <c r="H239" s="20"/>
      <c r="I239" s="21">
        <f t="shared" si="11"/>
        <v>7373.7075292674663</v>
      </c>
      <c r="J239" s="26">
        <v>44.9</v>
      </c>
    </row>
    <row r="240" spans="1:10" ht="14.4" x14ac:dyDescent="0.3">
      <c r="A240" s="17">
        <v>38807</v>
      </c>
      <c r="B240" s="18">
        <v>131467.86411250001</v>
      </c>
      <c r="C240" s="18">
        <v>17.54</v>
      </c>
      <c r="D240" s="18">
        <v>15.145</v>
      </c>
      <c r="E240" s="22">
        <v>2.2711113401666205</v>
      </c>
      <c r="F240" s="19">
        <f t="shared" si="9"/>
        <v>7495.3172242018254</v>
      </c>
      <c r="G240" s="20">
        <f t="shared" si="10"/>
        <v>4.9844590691125346E-2</v>
      </c>
      <c r="H240" s="20"/>
      <c r="I240" s="21">
        <f t="shared" si="11"/>
        <v>7240.6761028692081</v>
      </c>
      <c r="J240" s="26">
        <v>44.5</v>
      </c>
    </row>
    <row r="241" spans="1:10" ht="14.4" x14ac:dyDescent="0.3">
      <c r="A241" s="17">
        <v>38776</v>
      </c>
      <c r="B241" s="18">
        <v>128003.27182164001</v>
      </c>
      <c r="C241" s="18">
        <v>17.928999999999998</v>
      </c>
      <c r="D241" s="18">
        <v>14.962</v>
      </c>
      <c r="E241" s="22">
        <v>2.2637529336742235</v>
      </c>
      <c r="F241" s="19">
        <f t="shared" si="9"/>
        <v>7139.4540588789123</v>
      </c>
      <c r="G241" s="20">
        <f t="shared" si="10"/>
        <v>7.364913275195395E-3</v>
      </c>
      <c r="H241" s="20"/>
      <c r="I241" s="21">
        <f t="shared" si="11"/>
        <v>7113.3555422029003</v>
      </c>
      <c r="J241" s="26">
        <v>44.28</v>
      </c>
    </row>
    <row r="242" spans="1:10" ht="14.4" x14ac:dyDescent="0.3">
      <c r="A242" s="17">
        <v>38748</v>
      </c>
      <c r="B242" s="18">
        <v>127180.82732308</v>
      </c>
      <c r="C242" s="18">
        <v>17.945</v>
      </c>
      <c r="D242" s="18">
        <v>14.952999999999999</v>
      </c>
      <c r="E242" s="22">
        <v>2.2839346013421524</v>
      </c>
      <c r="F242" s="19">
        <f t="shared" si="9"/>
        <v>7087.2570255268874</v>
      </c>
      <c r="G242" s="20"/>
      <c r="H242" s="20"/>
      <c r="I242" s="21">
        <f t="shared" si="11"/>
        <v>7087.2570255268874</v>
      </c>
      <c r="J242" s="26">
        <v>43.93</v>
      </c>
    </row>
    <row r="243" spans="1:10" ht="14.4" x14ac:dyDescent="0.3">
      <c r="A243" s="17"/>
      <c r="B243" s="18"/>
      <c r="C243" s="18"/>
      <c r="D243" s="18"/>
      <c r="E243" s="22"/>
      <c r="F243" s="19"/>
      <c r="G243" s="20"/>
      <c r="H243" s="20"/>
      <c r="I243" s="21"/>
      <c r="J243" s="26"/>
    </row>
    <row r="244" spans="1:10" ht="14.4" x14ac:dyDescent="0.3">
      <c r="A244" s="17"/>
      <c r="B244" s="18"/>
      <c r="C244" s="18"/>
      <c r="D244" s="18"/>
      <c r="E244" s="22"/>
      <c r="F244" s="19"/>
      <c r="G244" s="20"/>
      <c r="H244" s="20"/>
      <c r="I244" s="21"/>
      <c r="J244" s="26"/>
    </row>
    <row r="245" spans="1:10" ht="14.4" x14ac:dyDescent="0.3">
      <c r="A245" s="17"/>
      <c r="B245" s="18"/>
      <c r="C245" s="18"/>
      <c r="D245" s="18"/>
      <c r="E245" s="22"/>
      <c r="F245" s="19"/>
      <c r="G245" s="20"/>
      <c r="H245" s="20"/>
      <c r="I245" s="21"/>
      <c r="J245" s="26"/>
    </row>
    <row r="246" spans="1:10" ht="14.4" x14ac:dyDescent="0.3">
      <c r="A246" s="17"/>
      <c r="B246" s="18"/>
      <c r="C246" s="18"/>
      <c r="D246" s="18"/>
      <c r="E246" s="22"/>
      <c r="F246" s="19"/>
      <c r="G246" s="20"/>
      <c r="H246" s="20"/>
      <c r="I246" s="21"/>
      <c r="J246" s="26"/>
    </row>
    <row r="247" spans="1:10" ht="14.4" x14ac:dyDescent="0.3">
      <c r="A247" s="17"/>
      <c r="B247" s="18"/>
      <c r="C247" s="18"/>
      <c r="D247" s="18"/>
      <c r="E247" s="22"/>
      <c r="F247" s="19"/>
      <c r="G247" s="20"/>
      <c r="H247" s="20"/>
      <c r="I247" s="21"/>
      <c r="J247" s="26"/>
    </row>
    <row r="248" spans="1:10" ht="14.4" x14ac:dyDescent="0.3">
      <c r="A248" s="17"/>
      <c r="B248" s="18"/>
      <c r="C248" s="18"/>
      <c r="D248" s="18"/>
      <c r="E248" s="22"/>
      <c r="F248" s="19"/>
      <c r="G248" s="20"/>
      <c r="H248" s="20"/>
      <c r="I248" s="21"/>
      <c r="J248" s="26"/>
    </row>
    <row r="249" spans="1:10" ht="14.4" x14ac:dyDescent="0.3">
      <c r="A249" s="17"/>
      <c r="B249" s="18"/>
      <c r="C249" s="18"/>
      <c r="D249" s="18"/>
      <c r="E249" s="22"/>
      <c r="F249" s="19"/>
      <c r="G249" s="20"/>
      <c r="H249" s="20"/>
      <c r="I249" s="21"/>
      <c r="J249" s="26"/>
    </row>
    <row r="250" spans="1:10" ht="14.4" x14ac:dyDescent="0.3">
      <c r="A250" s="17"/>
      <c r="B250" s="18"/>
      <c r="C250" s="18"/>
      <c r="D250" s="18"/>
      <c r="E250" s="22"/>
      <c r="F250" s="19"/>
      <c r="G250" s="20"/>
      <c r="H250" s="20"/>
      <c r="I250" s="21"/>
      <c r="J250" s="26"/>
    </row>
    <row r="251" spans="1:10" ht="14.4" x14ac:dyDescent="0.3">
      <c r="A251" s="17"/>
      <c r="B251" s="18"/>
      <c r="C251" s="18"/>
      <c r="D251" s="18"/>
      <c r="E251" s="22"/>
      <c r="F251" s="19"/>
      <c r="G251" s="20"/>
      <c r="H251" s="20"/>
      <c r="I251" s="21"/>
      <c r="J251" s="26"/>
    </row>
    <row r="252" spans="1:10" ht="14.4" x14ac:dyDescent="0.3">
      <c r="A252" s="17"/>
      <c r="B252" s="18"/>
      <c r="C252" s="18"/>
      <c r="D252" s="18"/>
      <c r="E252" s="22"/>
      <c r="F252" s="19"/>
      <c r="G252" s="20"/>
      <c r="H252" s="20"/>
      <c r="I252" s="21"/>
      <c r="J252" s="26"/>
    </row>
    <row r="253" spans="1:10" ht="14.4" x14ac:dyDescent="0.3">
      <c r="A253" s="17"/>
      <c r="B253" s="18"/>
      <c r="C253" s="18"/>
      <c r="D253" s="18"/>
      <c r="E253" s="22"/>
      <c r="F253" s="19"/>
      <c r="G253" s="20"/>
      <c r="H253" s="20"/>
      <c r="I253" s="21"/>
      <c r="J253" s="26"/>
    </row>
    <row r="254" spans="1:10" ht="14.4" x14ac:dyDescent="0.3">
      <c r="A254" s="17"/>
      <c r="B254" s="18"/>
      <c r="C254" s="18"/>
      <c r="D254" s="18"/>
      <c r="E254" s="22"/>
      <c r="F254" s="19"/>
      <c r="G254" s="20"/>
      <c r="H254" s="20"/>
      <c r="I254" s="21"/>
      <c r="J254" s="26"/>
    </row>
    <row r="255" spans="1:10" ht="14.4" x14ac:dyDescent="0.3">
      <c r="A255" s="17"/>
      <c r="B255" s="18"/>
      <c r="C255" s="18"/>
      <c r="D255" s="18"/>
      <c r="E255" s="22"/>
      <c r="F255" s="19"/>
      <c r="G255" s="20"/>
      <c r="H255" s="20"/>
      <c r="I255" s="21"/>
    </row>
    <row r="256" spans="1:10" ht="14.4" x14ac:dyDescent="0.3">
      <c r="A256" s="17"/>
      <c r="B256" s="18"/>
      <c r="C256" s="18"/>
      <c r="D256" s="18"/>
      <c r="E256" s="22"/>
      <c r="F256" s="19"/>
      <c r="G256" s="20"/>
      <c r="H256" s="20"/>
      <c r="I256" s="21"/>
    </row>
    <row r="257" spans="1:9" ht="14.4" x14ac:dyDescent="0.3">
      <c r="A257" s="17"/>
      <c r="B257" s="18"/>
      <c r="C257" s="18"/>
      <c r="D257" s="18"/>
      <c r="E257" s="22"/>
      <c r="F257" s="19"/>
      <c r="G257" s="20"/>
      <c r="H257" s="20"/>
      <c r="I257" s="21"/>
    </row>
    <row r="258" spans="1:9" ht="14.4" x14ac:dyDescent="0.3">
      <c r="A258" s="17"/>
      <c r="B258" s="18"/>
      <c r="C258" s="18"/>
      <c r="D258" s="18"/>
      <c r="E258" s="22"/>
      <c r="F258" s="19"/>
      <c r="G258" s="20"/>
      <c r="H258" s="20"/>
      <c r="I258" s="21"/>
    </row>
    <row r="259" spans="1:9" ht="14.4" x14ac:dyDescent="0.3">
      <c r="A259" s="17"/>
      <c r="B259" s="18"/>
      <c r="C259" s="18"/>
      <c r="D259" s="18"/>
      <c r="E259" s="22"/>
      <c r="F259" s="19"/>
      <c r="G259" s="20"/>
      <c r="H259" s="20"/>
      <c r="I259" s="21"/>
    </row>
    <row r="260" spans="1:9" ht="14.4" x14ac:dyDescent="0.3">
      <c r="A260" s="17"/>
      <c r="B260" s="18"/>
      <c r="C260" s="18"/>
      <c r="D260" s="18"/>
      <c r="E260" s="22"/>
      <c r="F260" s="19"/>
      <c r="G260" s="20"/>
      <c r="H260" s="20"/>
      <c r="I260" s="21"/>
    </row>
    <row r="261" spans="1:9" ht="14.4" x14ac:dyDescent="0.3">
      <c r="A261" s="17"/>
      <c r="B261" s="18"/>
      <c r="C261" s="18"/>
      <c r="D261" s="18"/>
      <c r="E261" s="22"/>
      <c r="F261" s="19"/>
      <c r="G261" s="20"/>
      <c r="H261" s="20"/>
      <c r="I261" s="21"/>
    </row>
    <row r="262" spans="1:9" ht="14.4" x14ac:dyDescent="0.3">
      <c r="A262" s="17"/>
      <c r="B262" s="18"/>
      <c r="C262" s="18"/>
      <c r="D262" s="18"/>
      <c r="E262" s="22"/>
      <c r="F262" s="19"/>
      <c r="G262" s="20"/>
      <c r="H262" s="20"/>
      <c r="I262" s="21"/>
    </row>
    <row r="263" spans="1:9" ht="14.4" x14ac:dyDescent="0.3">
      <c r="A263" s="17"/>
      <c r="B263" s="18"/>
      <c r="C263" s="18"/>
      <c r="D263" s="18"/>
      <c r="E263" s="22"/>
      <c r="F263" s="19"/>
      <c r="G263" s="20"/>
      <c r="H263" s="20"/>
      <c r="I263" s="21"/>
    </row>
    <row r="264" spans="1:9" ht="14.4" x14ac:dyDescent="0.3">
      <c r="A264" s="17"/>
      <c r="B264" s="18"/>
      <c r="C264" s="18"/>
      <c r="D264" s="18"/>
      <c r="E264" s="22"/>
      <c r="F264" s="19"/>
      <c r="G264" s="20"/>
      <c r="H264" s="20"/>
      <c r="I264" s="21"/>
    </row>
    <row r="265" spans="1:9" ht="14.4" x14ac:dyDescent="0.3">
      <c r="A265" s="17"/>
      <c r="B265" s="18"/>
      <c r="C265" s="18"/>
      <c r="D265" s="18"/>
      <c r="E265" s="22"/>
      <c r="F265" s="19"/>
      <c r="G265" s="20"/>
      <c r="H265" s="20"/>
      <c r="I265" s="21"/>
    </row>
    <row r="266" spans="1:9" ht="14.4" x14ac:dyDescent="0.3">
      <c r="A266" s="17"/>
      <c r="B266" s="18"/>
      <c r="C266" s="18"/>
      <c r="D266" s="18"/>
      <c r="E266" s="22"/>
      <c r="F266" s="19"/>
      <c r="G266" s="20"/>
      <c r="H266" s="20"/>
      <c r="I266" s="21"/>
    </row>
    <row r="267" spans="1:9" ht="14.4" x14ac:dyDescent="0.3">
      <c r="A267" s="17"/>
      <c r="B267" s="18"/>
      <c r="C267" s="18"/>
      <c r="D267" s="18"/>
      <c r="E267" s="22"/>
      <c r="F267" s="19"/>
      <c r="G267" s="20"/>
      <c r="H267" s="20"/>
      <c r="I267" s="21"/>
    </row>
    <row r="268" spans="1:9" ht="14.4" x14ac:dyDescent="0.3">
      <c r="E268" s="23"/>
    </row>
    <row r="269" spans="1:9" ht="14.4" x14ac:dyDescent="0.3">
      <c r="E269" s="23"/>
    </row>
    <row r="270" spans="1:9" ht="14.4" x14ac:dyDescent="0.3">
      <c r="E270" s="23"/>
    </row>
    <row r="271" spans="1:9" ht="14.4" x14ac:dyDescent="0.3">
      <c r="E271" s="23"/>
    </row>
    <row r="272" spans="1:9" ht="14.4" x14ac:dyDescent="0.3">
      <c r="E272" s="23"/>
    </row>
    <row r="273" spans="5:5" ht="14.4" x14ac:dyDescent="0.3">
      <c r="E273" s="23"/>
    </row>
    <row r="274" spans="5:5" ht="14.4" x14ac:dyDescent="0.3">
      <c r="E274" s="23"/>
    </row>
    <row r="275" spans="5:5" ht="14.4" x14ac:dyDescent="0.3">
      <c r="E275" s="23"/>
    </row>
    <row r="276" spans="5:5" ht="14.4" x14ac:dyDescent="0.3">
      <c r="E276" s="23"/>
    </row>
    <row r="277" spans="5:5" ht="14.4" x14ac:dyDescent="0.3">
      <c r="E277" s="23"/>
    </row>
    <row r="278" spans="5:5" ht="14.4" x14ac:dyDescent="0.3">
      <c r="E278" s="23"/>
    </row>
    <row r="279" spans="5:5" ht="14.4" x14ac:dyDescent="0.3">
      <c r="E279" s="23"/>
    </row>
    <row r="280" spans="5:5" ht="14.4" x14ac:dyDescent="0.3">
      <c r="E280" s="23"/>
    </row>
    <row r="281" spans="5:5" ht="14.4" x14ac:dyDescent="0.3">
      <c r="E281" s="23"/>
    </row>
    <row r="282" spans="5:5" ht="14.4" x14ac:dyDescent="0.3">
      <c r="E282" s="23"/>
    </row>
    <row r="283" spans="5:5" ht="14.4" x14ac:dyDescent="0.3">
      <c r="E283" s="23"/>
    </row>
    <row r="284" spans="5:5" ht="14.4" x14ac:dyDescent="0.3">
      <c r="E284" s="23"/>
    </row>
    <row r="285" spans="5:5" ht="14.4" x14ac:dyDescent="0.3">
      <c r="E285" s="23"/>
    </row>
    <row r="286" spans="5:5" ht="14.4" x14ac:dyDescent="0.3">
      <c r="E286" s="23"/>
    </row>
    <row r="287" spans="5:5" ht="14.4" x14ac:dyDescent="0.3">
      <c r="E287" s="23"/>
    </row>
    <row r="288" spans="5:5" ht="14.4" x14ac:dyDescent="0.3">
      <c r="E288" s="23"/>
    </row>
    <row r="289" spans="5:5" ht="14.4" x14ac:dyDescent="0.3">
      <c r="E289" s="23"/>
    </row>
    <row r="290" spans="5:5" ht="14.4" x14ac:dyDescent="0.3">
      <c r="E290" s="23"/>
    </row>
    <row r="291" spans="5:5" ht="14.4" x14ac:dyDescent="0.3">
      <c r="E291" s="23"/>
    </row>
    <row r="292" spans="5:5" ht="14.4" x14ac:dyDescent="0.3">
      <c r="E292" s="23"/>
    </row>
    <row r="293" spans="5:5" ht="14.4" x14ac:dyDescent="0.3">
      <c r="E293" s="23"/>
    </row>
    <row r="294" spans="5:5" ht="14.4" x14ac:dyDescent="0.3">
      <c r="E294" s="23"/>
    </row>
    <row r="295" spans="5:5" ht="14.4" x14ac:dyDescent="0.3">
      <c r="E295" s="23"/>
    </row>
    <row r="296" spans="5:5" ht="14.4" x14ac:dyDescent="0.3">
      <c r="E296" s="23"/>
    </row>
    <row r="297" spans="5:5" ht="14.4" x14ac:dyDescent="0.3">
      <c r="E297" s="23"/>
    </row>
    <row r="298" spans="5:5" ht="14.4" x14ac:dyDescent="0.3">
      <c r="E298" s="23"/>
    </row>
    <row r="299" spans="5:5" ht="14.4" x14ac:dyDescent="0.3">
      <c r="E299" s="23"/>
    </row>
    <row r="300" spans="5:5" ht="14.4" x14ac:dyDescent="0.3">
      <c r="E300" s="23"/>
    </row>
    <row r="301" spans="5:5" ht="14.4" x14ac:dyDescent="0.3">
      <c r="E301" s="23"/>
    </row>
    <row r="302" spans="5:5" ht="14.4" x14ac:dyDescent="0.3">
      <c r="E302" s="23"/>
    </row>
    <row r="303" spans="5:5" ht="14.4" x14ac:dyDescent="0.3">
      <c r="E303" s="23"/>
    </row>
    <row r="304" spans="5:5" ht="14.4" x14ac:dyDescent="0.3">
      <c r="E304" s="23"/>
    </row>
    <row r="305" spans="5:5" ht="14.4" x14ac:dyDescent="0.3">
      <c r="E305" s="23"/>
    </row>
    <row r="306" spans="5:5" ht="14.4" x14ac:dyDescent="0.3">
      <c r="E306" s="23"/>
    </row>
    <row r="307" spans="5:5" ht="14.4" x14ac:dyDescent="0.3">
      <c r="E307" s="23"/>
    </row>
    <row r="308" spans="5:5" ht="14.4" x14ac:dyDescent="0.3">
      <c r="E308" s="23"/>
    </row>
    <row r="309" spans="5:5" ht="14.4" x14ac:dyDescent="0.3">
      <c r="E309" s="23"/>
    </row>
    <row r="310" spans="5:5" ht="14.4" x14ac:dyDescent="0.3">
      <c r="E310" s="23"/>
    </row>
    <row r="311" spans="5:5" ht="14.4" x14ac:dyDescent="0.3">
      <c r="E311" s="23"/>
    </row>
    <row r="312" spans="5:5" ht="14.4" x14ac:dyDescent="0.3">
      <c r="E312" s="23"/>
    </row>
    <row r="313" spans="5:5" ht="14.4" x14ac:dyDescent="0.3">
      <c r="E313" s="23"/>
    </row>
    <row r="314" spans="5:5" ht="14.4" x14ac:dyDescent="0.3">
      <c r="E314" s="23"/>
    </row>
    <row r="315" spans="5:5" ht="14.4" x14ac:dyDescent="0.3">
      <c r="E315" s="23"/>
    </row>
    <row r="316" spans="5:5" ht="14.4" x14ac:dyDescent="0.3">
      <c r="E316" s="23"/>
    </row>
    <row r="317" spans="5:5" ht="14.4" x14ac:dyDescent="0.3">
      <c r="E317" s="23"/>
    </row>
    <row r="318" spans="5:5" ht="14.4" x14ac:dyDescent="0.3">
      <c r="E318" s="23"/>
    </row>
    <row r="319" spans="5:5" ht="14.4" x14ac:dyDescent="0.3">
      <c r="E319" s="23"/>
    </row>
    <row r="320" spans="5:5" ht="14.4" x14ac:dyDescent="0.3">
      <c r="E320" s="23"/>
    </row>
    <row r="321" spans="5:5" ht="14.4" x14ac:dyDescent="0.3">
      <c r="E321" s="23"/>
    </row>
    <row r="322" spans="5:5" ht="14.4" x14ac:dyDescent="0.3">
      <c r="E322" s="23"/>
    </row>
    <row r="323" spans="5:5" ht="14.4" x14ac:dyDescent="0.3">
      <c r="E323" s="23"/>
    </row>
    <row r="324" spans="5:5" ht="14.4" x14ac:dyDescent="0.3">
      <c r="E324" s="23"/>
    </row>
    <row r="325" spans="5:5" ht="14.4" x14ac:dyDescent="0.3">
      <c r="E325" s="23"/>
    </row>
    <row r="326" spans="5:5" ht="14.4" x14ac:dyDescent="0.3">
      <c r="E326" s="23"/>
    </row>
    <row r="327" spans="5:5" ht="14.4" x14ac:dyDescent="0.3">
      <c r="E327" s="23"/>
    </row>
    <row r="328" spans="5:5" ht="14.4" x14ac:dyDescent="0.3">
      <c r="E328" s="23"/>
    </row>
    <row r="329" spans="5:5" ht="14.4" x14ac:dyDescent="0.3">
      <c r="E32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54AE-1330-46B4-B559-CBBE2BE3937F}">
  <dimension ref="A1:J254"/>
  <sheetViews>
    <sheetView tabSelected="1" workbookViewId="0">
      <selection activeCell="B5" sqref="B5"/>
    </sheetView>
  </sheetViews>
  <sheetFormatPr defaultColWidth="20.6640625" defaultRowHeight="14.4" x14ac:dyDescent="0.3"/>
  <sheetData>
    <row r="1" spans="1:10" x14ac:dyDescent="0.3">
      <c r="A1" s="1" t="s">
        <v>2</v>
      </c>
      <c r="B1" s="1" t="s">
        <v>6</v>
      </c>
      <c r="C1" s="1" t="s">
        <v>3</v>
      </c>
      <c r="D1" s="16" t="s">
        <v>9</v>
      </c>
      <c r="E1" s="1" t="s">
        <v>5</v>
      </c>
      <c r="F1" s="1" t="s">
        <v>7</v>
      </c>
      <c r="G1" s="16" t="s">
        <v>10</v>
      </c>
      <c r="H1" s="16" t="s">
        <v>11</v>
      </c>
      <c r="I1" s="16" t="s">
        <v>12</v>
      </c>
      <c r="J1" t="s">
        <v>13</v>
      </c>
    </row>
    <row r="2" spans="1:10" x14ac:dyDescent="0.3">
      <c r="A2" s="24">
        <v>46053</v>
      </c>
      <c r="B2" s="25">
        <v>52665.175619579997</v>
      </c>
      <c r="C2" s="25">
        <v>23.38</v>
      </c>
      <c r="D2" s="25">
        <v>15.628</v>
      </c>
      <c r="E2" s="25">
        <v>1.637</v>
      </c>
      <c r="F2" s="19">
        <f>B2/C2</f>
        <v>2252.5738075098375</v>
      </c>
      <c r="G2" s="20">
        <f t="shared" ref="G2:G65" si="0">F2/F3-1</f>
        <v>3.324250415422525E-2</v>
      </c>
      <c r="H2" s="20" cm="1">
        <f t="array" ref="H2">PRODUCT(G2:G37+1)^(1/3)-1</f>
        <v>0.12029668412472727</v>
      </c>
      <c r="I2" s="21">
        <f t="shared" ref="I2:I65" si="1">AVERAGE(F2:F121)</f>
        <v>1228.1007675821202</v>
      </c>
      <c r="J2" s="26">
        <v>91.69</v>
      </c>
    </row>
    <row r="3" spans="1:10" x14ac:dyDescent="0.3">
      <c r="A3" s="24">
        <v>46022</v>
      </c>
      <c r="B3" s="25">
        <v>50133.620199740006</v>
      </c>
      <c r="C3" s="25">
        <v>22.995999999999999</v>
      </c>
      <c r="D3" s="25">
        <v>15.631</v>
      </c>
      <c r="E3" s="25">
        <v>1.6679999999999999</v>
      </c>
      <c r="F3" s="19">
        <f t="shared" ref="F3:F65" si="2">B3/C3</f>
        <v>2180.1017655131332</v>
      </c>
      <c r="G3" s="20">
        <f t="shared" si="0"/>
        <v>1.9252450917722319E-2</v>
      </c>
      <c r="H3" s="20" cm="1">
        <f t="array" ref="H3">PRODUCT(G3:G38+1)^(1/3)-1</f>
        <v>0.10644121363661152</v>
      </c>
      <c r="I3" s="21">
        <f t="shared" si="1"/>
        <v>1214.9984014377451</v>
      </c>
      <c r="J3" s="26">
        <v>89.87</v>
      </c>
    </row>
    <row r="4" spans="1:10" x14ac:dyDescent="0.3">
      <c r="A4" s="24">
        <v>45991</v>
      </c>
      <c r="B4" s="25">
        <v>49334.242146079996</v>
      </c>
      <c r="C4" s="25">
        <v>23.065000000000001</v>
      </c>
      <c r="D4" s="25">
        <v>15.635999999999999</v>
      </c>
      <c r="E4" s="25">
        <v>1.659</v>
      </c>
      <c r="F4" s="19">
        <f t="shared" si="2"/>
        <v>2138.9222695027092</v>
      </c>
      <c r="G4" s="20">
        <f t="shared" si="0"/>
        <v>3.101618064164291E-2</v>
      </c>
      <c r="H4" s="20" cm="1">
        <f t="array" ref="H4">PRODUCT(G4:G39+1)^(1/3)-1</f>
        <v>0.10905423173272077</v>
      </c>
      <c r="I4" s="21">
        <f t="shared" si="1"/>
        <v>1202.4894762195083</v>
      </c>
      <c r="J4" s="26">
        <v>89.36</v>
      </c>
    </row>
    <row r="5" spans="1:10" x14ac:dyDescent="0.3">
      <c r="A5" s="24">
        <v>45961</v>
      </c>
      <c r="B5" s="25">
        <v>49013.951951579998</v>
      </c>
      <c r="C5" s="25">
        <v>23.626000000000001</v>
      </c>
      <c r="D5" s="25">
        <v>15.477</v>
      </c>
      <c r="E5" s="25">
        <v>1.655</v>
      </c>
      <c r="F5" s="19">
        <f t="shared" si="2"/>
        <v>2074.5768200956572</v>
      </c>
      <c r="G5" s="20">
        <f t="shared" si="0"/>
        <v>1.6272616182284594E-3</v>
      </c>
      <c r="H5" s="20" cm="1">
        <f t="array" ref="H5">PRODUCT(G5:G40+1)^(1/3)-1</f>
        <v>0.10345988840508991</v>
      </c>
      <c r="I5" s="21">
        <f t="shared" si="1"/>
        <v>1190.2819621206659</v>
      </c>
      <c r="J5" s="26">
        <v>88.77</v>
      </c>
    </row>
    <row r="6" spans="1:10" x14ac:dyDescent="0.3">
      <c r="A6" s="24">
        <v>45930</v>
      </c>
      <c r="B6" s="25">
        <v>47979.496843840003</v>
      </c>
      <c r="C6" s="25">
        <v>23.164999999999999</v>
      </c>
      <c r="D6" s="25">
        <v>15.331</v>
      </c>
      <c r="E6" s="25">
        <v>1.6970000000000001</v>
      </c>
      <c r="F6" s="19">
        <f t="shared" si="2"/>
        <v>2071.2064253762142</v>
      </c>
      <c r="G6" s="20">
        <f t="shared" si="0"/>
        <v>1.6576710445078469E-2</v>
      </c>
      <c r="H6" s="20" cm="1">
        <f t="array" ref="H6">PRODUCT(G6:G41+1)^(1/3)-1</f>
        <v>0.1092071051838599</v>
      </c>
      <c r="I6" s="21">
        <f t="shared" si="1"/>
        <v>1178.6579560548764</v>
      </c>
      <c r="J6" s="26">
        <v>88.84</v>
      </c>
    </row>
    <row r="7" spans="1:10" x14ac:dyDescent="0.3">
      <c r="A7" s="24">
        <v>45900</v>
      </c>
      <c r="B7" s="25">
        <v>45952.252533389998</v>
      </c>
      <c r="C7" s="25">
        <v>22.553999999999998</v>
      </c>
      <c r="D7" s="25">
        <v>15.218</v>
      </c>
      <c r="E7" s="25">
        <v>1.746</v>
      </c>
      <c r="F7" s="19">
        <f t="shared" si="2"/>
        <v>2037.4324968249534</v>
      </c>
      <c r="G7" s="20">
        <f t="shared" si="0"/>
        <v>2.6945970785112516E-2</v>
      </c>
      <c r="H7" s="20" cm="1">
        <f t="array" ref="H7">PRODUCT(G7:G42+1)^(1/3)-1</f>
        <v>0.11029012569702701</v>
      </c>
      <c r="I7" s="21">
        <f t="shared" si="1"/>
        <v>1167.0343269710609</v>
      </c>
      <c r="J7" s="26">
        <v>88.17</v>
      </c>
    </row>
    <row r="8" spans="1:10" x14ac:dyDescent="0.3">
      <c r="A8" s="24">
        <v>45869</v>
      </c>
      <c r="B8" s="25">
        <v>44514.389492479997</v>
      </c>
      <c r="C8" s="25">
        <v>22.437000000000001</v>
      </c>
      <c r="D8" s="25">
        <v>15.037000000000001</v>
      </c>
      <c r="E8" s="25">
        <v>1.7749999999999999</v>
      </c>
      <c r="F8" s="19">
        <f t="shared" si="2"/>
        <v>1983.9724335909432</v>
      </c>
      <c r="G8" s="20">
        <f t="shared" si="0"/>
        <v>1.4511441300651962E-2</v>
      </c>
      <c r="H8" s="20" cm="1">
        <f t="array" ref="H8">PRODUCT(G8:G43+1)^(1/3)-1</f>
        <v>9.8529145231311288E-2</v>
      </c>
      <c r="I8" s="21">
        <f t="shared" si="1"/>
        <v>1155.7928808712536</v>
      </c>
      <c r="J8" s="26">
        <v>87.52</v>
      </c>
    </row>
    <row r="9" spans="1:10" x14ac:dyDescent="0.3">
      <c r="A9" s="24">
        <v>45838</v>
      </c>
      <c r="B9" s="25">
        <v>43005.466484600001</v>
      </c>
      <c r="C9" s="25">
        <v>21.991</v>
      </c>
      <c r="D9" s="25">
        <v>14.984</v>
      </c>
      <c r="E9" s="25">
        <v>1.8089999999999999</v>
      </c>
      <c r="F9" s="19">
        <f t="shared" si="2"/>
        <v>1955.5939468237007</v>
      </c>
      <c r="G9" s="20">
        <f t="shared" si="0"/>
        <v>1.1794590141500194E-2</v>
      </c>
      <c r="H9" s="20" cm="1">
        <f t="array" ref="H9">PRODUCT(G9:G44+1)^(1/3)-1</f>
        <v>9.1428561277781872E-2</v>
      </c>
      <c r="I9" s="21">
        <f t="shared" si="1"/>
        <v>1144.798409801489</v>
      </c>
      <c r="J9" s="26">
        <v>85.7</v>
      </c>
    </row>
    <row r="10" spans="1:10" x14ac:dyDescent="0.3">
      <c r="A10" s="24">
        <v>45808</v>
      </c>
      <c r="B10" s="25">
        <v>41075.810211719996</v>
      </c>
      <c r="C10" s="25">
        <v>21.251999999999999</v>
      </c>
      <c r="D10" s="25">
        <v>14.997</v>
      </c>
      <c r="E10" s="25">
        <v>1.865</v>
      </c>
      <c r="F10" s="19">
        <f t="shared" si="2"/>
        <v>1932.7973937380011</v>
      </c>
      <c r="G10" s="20">
        <f t="shared" si="0"/>
        <v>1.8395163804795445E-2</v>
      </c>
      <c r="H10" s="20" cm="1">
        <f t="array" ref="H10">PRODUCT(G10:G45+1)^(1/3)-1</f>
        <v>9.0861400163086303E-2</v>
      </c>
      <c r="I10" s="21">
        <f t="shared" si="1"/>
        <v>1134.0435921953765</v>
      </c>
      <c r="J10" s="26">
        <v>85.53</v>
      </c>
    </row>
    <row r="11" spans="1:10" x14ac:dyDescent="0.3">
      <c r="A11" s="24">
        <v>45777</v>
      </c>
      <c r="B11" s="25">
        <v>38420.7936462</v>
      </c>
      <c r="C11" s="25">
        <v>20.244</v>
      </c>
      <c r="D11" s="25">
        <v>15.105</v>
      </c>
      <c r="E11" s="25">
        <v>1.948</v>
      </c>
      <c r="F11" s="19">
        <f t="shared" si="2"/>
        <v>1897.8854794605809</v>
      </c>
      <c r="G11" s="20">
        <f t="shared" si="0"/>
        <v>1.5259685785804278E-2</v>
      </c>
      <c r="H11" s="20" cm="1">
        <f t="array" ref="H11">PRODUCT(G11:G46+1)^(1/3)-1</f>
        <v>9.8242656927852723E-2</v>
      </c>
      <c r="I11" s="21">
        <f t="shared" si="1"/>
        <v>1123.4610165720478</v>
      </c>
      <c r="J11" s="26">
        <v>84.6</v>
      </c>
    </row>
    <row r="12" spans="1:10" x14ac:dyDescent="0.3">
      <c r="A12" s="24">
        <v>45747</v>
      </c>
      <c r="B12" s="25">
        <v>38452.727769140001</v>
      </c>
      <c r="C12" s="25">
        <v>20.57</v>
      </c>
      <c r="D12" s="25">
        <v>15.092000000000001</v>
      </c>
      <c r="E12" s="25">
        <v>1.9159999999999999</v>
      </c>
      <c r="F12" s="19">
        <f t="shared" si="2"/>
        <v>1869.3596387525522</v>
      </c>
      <c r="G12" s="20">
        <f t="shared" si="0"/>
        <v>-5.2342377465703915E-3</v>
      </c>
      <c r="H12" s="20" cm="1">
        <f t="array" ref="H12">PRODUCT(G12:G47+1)^(1/3)-1</f>
        <v>8.6087639571112762E-2</v>
      </c>
      <c r="I12" s="21">
        <f t="shared" si="1"/>
        <v>1113.2593989828265</v>
      </c>
      <c r="J12" s="26">
        <v>85.46</v>
      </c>
    </row>
    <row r="13" spans="1:10" x14ac:dyDescent="0.3">
      <c r="A13" s="24">
        <v>45716</v>
      </c>
      <c r="B13" s="25">
        <v>40975.86433882</v>
      </c>
      <c r="C13" s="25">
        <v>21.805</v>
      </c>
      <c r="D13" s="25">
        <v>14.975</v>
      </c>
      <c r="E13" s="25">
        <v>1.8129999999999999</v>
      </c>
      <c r="F13" s="19">
        <f t="shared" si="2"/>
        <v>1879.1957963228617</v>
      </c>
      <c r="G13" s="20">
        <f t="shared" si="0"/>
        <v>3.0635648668282167E-2</v>
      </c>
      <c r="H13" s="20" cm="1">
        <f t="array" ref="H13">PRODUCT(G13:G48+1)^(1/3)-1</f>
        <v>9.5489973308525711E-2</v>
      </c>
      <c r="I13" s="21">
        <f t="shared" si="1"/>
        <v>1103.0940128694181</v>
      </c>
      <c r="J13" s="26">
        <v>87.47</v>
      </c>
    </row>
    <row r="14" spans="1:10" x14ac:dyDescent="0.3">
      <c r="A14" s="24">
        <v>45688</v>
      </c>
      <c r="B14" s="25">
        <v>40795.335190719998</v>
      </c>
      <c r="C14" s="25">
        <v>22.373999999999999</v>
      </c>
      <c r="D14" s="25">
        <v>14.956</v>
      </c>
      <c r="E14" s="25">
        <v>1.778</v>
      </c>
      <c r="F14" s="19">
        <f t="shared" si="2"/>
        <v>1823.3366939626353</v>
      </c>
      <c r="G14" s="20">
        <f t="shared" si="0"/>
        <v>2.6651399341688586E-2</v>
      </c>
      <c r="H14" s="20" cm="1">
        <f t="array" ref="H14">PRODUCT(G14:G49+1)^(1/3)-1</f>
        <v>0.14230106162042633</v>
      </c>
      <c r="I14" s="21">
        <f t="shared" si="1"/>
        <v>1092.985802131737</v>
      </c>
      <c r="J14" s="26">
        <v>86.56</v>
      </c>
    </row>
    <row r="15" spans="1:10" x14ac:dyDescent="0.3">
      <c r="A15" s="24">
        <v>45657</v>
      </c>
      <c r="B15" s="25">
        <v>39009.92148705</v>
      </c>
      <c r="C15" s="25">
        <v>21.965</v>
      </c>
      <c r="D15" s="25">
        <v>14.813000000000001</v>
      </c>
      <c r="E15" s="25">
        <v>1.823</v>
      </c>
      <c r="F15" s="19">
        <f t="shared" si="2"/>
        <v>1776.0037098588664</v>
      </c>
      <c r="G15" s="20">
        <f t="shared" si="0"/>
        <v>6.7361011554096795E-3</v>
      </c>
      <c r="H15" s="20" cm="1">
        <f t="array" ref="H15">PRODUCT(G15:G50+1)^(1/3)-1</f>
        <v>0.11377952420639992</v>
      </c>
      <c r="I15" s="21">
        <f t="shared" si="1"/>
        <v>1083.3431143969563</v>
      </c>
      <c r="J15" s="26">
        <v>85.55</v>
      </c>
    </row>
    <row r="16" spans="1:10" x14ac:dyDescent="0.3">
      <c r="A16" s="24">
        <v>45626</v>
      </c>
      <c r="B16" s="25">
        <v>39493.36375936</v>
      </c>
      <c r="C16" s="25">
        <v>22.387</v>
      </c>
      <c r="D16" s="25">
        <v>14.72</v>
      </c>
      <c r="E16" s="25">
        <v>1.792</v>
      </c>
      <c r="F16" s="19">
        <f t="shared" si="2"/>
        <v>1764.1204162844508</v>
      </c>
      <c r="G16" s="20">
        <f t="shared" si="0"/>
        <v>-1.0413704592271422E-4</v>
      </c>
      <c r="H16" s="20" cm="1">
        <f t="array" ref="H16">PRODUCT(G16:G51+1)^(1/3)-1</f>
        <v>0.12280638347104356</v>
      </c>
      <c r="I16" s="21">
        <f t="shared" si="1"/>
        <v>1074.2405081529262</v>
      </c>
      <c r="J16" s="26">
        <v>84.56</v>
      </c>
    </row>
    <row r="17" spans="1:10" x14ac:dyDescent="0.3">
      <c r="A17" s="24">
        <v>45596</v>
      </c>
      <c r="B17" s="25">
        <v>37844.3239254</v>
      </c>
      <c r="C17" s="25">
        <v>21.45</v>
      </c>
      <c r="D17" s="25">
        <v>14.743</v>
      </c>
      <c r="E17" s="25">
        <v>1.863</v>
      </c>
      <c r="F17" s="19">
        <f t="shared" si="2"/>
        <v>1764.3041457062939</v>
      </c>
      <c r="G17" s="20">
        <f t="shared" si="0"/>
        <v>-4.8586160454947569E-3</v>
      </c>
      <c r="H17" s="20" cm="1">
        <f t="array" ref="H17">PRODUCT(G17:G52+1)^(1/3)-1</f>
        <v>0.11460111769476899</v>
      </c>
      <c r="I17" s="21">
        <f t="shared" si="1"/>
        <v>1065.2199429060736</v>
      </c>
      <c r="J17" s="26">
        <v>84.06</v>
      </c>
    </row>
    <row r="18" spans="1:10" x14ac:dyDescent="0.3">
      <c r="A18" s="24">
        <v>45565</v>
      </c>
      <c r="B18" s="25">
        <v>38575.151452080005</v>
      </c>
      <c r="C18" s="25">
        <v>21.757999999999999</v>
      </c>
      <c r="D18" s="25">
        <v>14.634</v>
      </c>
      <c r="E18" s="25">
        <v>1.8480000000000001</v>
      </c>
      <c r="F18" s="19">
        <f t="shared" si="2"/>
        <v>1772.9180739075287</v>
      </c>
      <c r="G18" s="20">
        <f t="shared" si="0"/>
        <v>6.625074603593184E-3</v>
      </c>
      <c r="H18" s="20" cm="1">
        <f t="array" ref="H18">PRODUCT(G18:G53+1)^(1/3)-1</f>
        <v>0.13895734823042893</v>
      </c>
      <c r="I18" s="21">
        <f t="shared" si="1"/>
        <v>1056.092964020308</v>
      </c>
      <c r="J18" s="26">
        <v>83.76</v>
      </c>
    </row>
    <row r="19" spans="1:10" x14ac:dyDescent="0.3">
      <c r="A19" s="24">
        <v>45535</v>
      </c>
      <c r="B19" s="25">
        <v>37748.864037610001</v>
      </c>
      <c r="C19" s="25">
        <v>21.433</v>
      </c>
      <c r="D19" s="25">
        <v>14.644</v>
      </c>
      <c r="E19" s="25">
        <v>1.867</v>
      </c>
      <c r="F19" s="19">
        <f t="shared" si="2"/>
        <v>1761.2496634913452</v>
      </c>
      <c r="G19" s="20">
        <f t="shared" si="0"/>
        <v>2.067179206013825E-2</v>
      </c>
      <c r="H19" s="20" cm="1">
        <f t="array" ref="H19">PRODUCT(G19:G54+1)^(1/3)-1</f>
        <v>0.1267453928568254</v>
      </c>
      <c r="I19" s="21">
        <f t="shared" si="1"/>
        <v>1046.9627893775337</v>
      </c>
      <c r="J19" s="26">
        <v>83.87</v>
      </c>
    </row>
    <row r="20" spans="1:10" x14ac:dyDescent="0.3">
      <c r="A20" s="24">
        <v>45504</v>
      </c>
      <c r="B20" s="25">
        <v>36739.2994272</v>
      </c>
      <c r="C20" s="25">
        <v>21.291</v>
      </c>
      <c r="D20" s="25">
        <v>14.738</v>
      </c>
      <c r="E20" s="25">
        <v>1.885</v>
      </c>
      <c r="F20" s="19">
        <f t="shared" si="2"/>
        <v>1725.5788561927575</v>
      </c>
      <c r="G20" s="20">
        <f t="shared" si="0"/>
        <v>1.7875942177578263E-2</v>
      </c>
      <c r="H20" s="20" cm="1">
        <f t="array" ref="H20">PRODUCT(G20:G55+1)^(1/3)-1</f>
        <v>0.16447295832179498</v>
      </c>
      <c r="I20" s="21">
        <f t="shared" si="1"/>
        <v>1037.8697548185107</v>
      </c>
      <c r="J20" s="26">
        <v>83.7</v>
      </c>
    </row>
    <row r="21" spans="1:10" x14ac:dyDescent="0.3">
      <c r="A21" s="24">
        <v>45473</v>
      </c>
      <c r="B21" s="25">
        <v>36009.319962879999</v>
      </c>
      <c r="C21" s="25">
        <v>21.241</v>
      </c>
      <c r="D21" s="25">
        <v>14.736000000000001</v>
      </c>
      <c r="E21" s="25">
        <v>1.883</v>
      </c>
      <c r="F21" s="19">
        <f t="shared" si="2"/>
        <v>1695.2742320455723</v>
      </c>
      <c r="G21" s="20">
        <f t="shared" si="0"/>
        <v>3.9349377421178389E-3</v>
      </c>
      <c r="H21" s="20" cm="1">
        <f t="array" ref="H21">PRODUCT(G21:G56+1)^(1/3)-1</f>
        <v>0.22467592158257754</v>
      </c>
      <c r="I21" s="21">
        <f t="shared" si="1"/>
        <v>1029.0206470876149</v>
      </c>
      <c r="J21" s="26">
        <v>83.36</v>
      </c>
    </row>
    <row r="22" spans="1:10" x14ac:dyDescent="0.3">
      <c r="A22" s="24">
        <v>45443</v>
      </c>
      <c r="B22" s="25">
        <v>35250.142477900001</v>
      </c>
      <c r="C22" s="25">
        <v>20.875</v>
      </c>
      <c r="D22" s="25">
        <v>14.516</v>
      </c>
      <c r="E22" s="25">
        <v>1.9359999999999999</v>
      </c>
      <c r="F22" s="19">
        <f t="shared" si="2"/>
        <v>1688.6295797796408</v>
      </c>
      <c r="G22" s="20">
        <f t="shared" si="0"/>
        <v>2.2499384335784578E-2</v>
      </c>
      <c r="H22" s="20" cm="1">
        <f t="array" ref="H22">PRODUCT(G22:G57+1)^(1/3)-1</f>
        <v>0.23878294826590385</v>
      </c>
      <c r="I22" s="21">
        <f t="shared" si="1"/>
        <v>1020.4174335550762</v>
      </c>
      <c r="J22" s="26">
        <v>83.42</v>
      </c>
    </row>
    <row r="23" spans="1:10" x14ac:dyDescent="0.3">
      <c r="A23" s="24">
        <v>45412</v>
      </c>
      <c r="B23" s="25">
        <v>33886.563530799998</v>
      </c>
      <c r="C23" s="25">
        <v>20.518999999999998</v>
      </c>
      <c r="D23" s="25">
        <v>14.528</v>
      </c>
      <c r="E23" s="25">
        <v>1.9770000000000001</v>
      </c>
      <c r="F23" s="19">
        <f t="shared" si="2"/>
        <v>1651.4724660461036</v>
      </c>
      <c r="G23" s="20">
        <f t="shared" si="0"/>
        <v>-3.947095368928677E-3</v>
      </c>
      <c r="H23" s="20" cm="1">
        <f t="array" ref="H23">PRODUCT(G23:G58+1)^(1/3)-1</f>
        <v>0.22734696867521054</v>
      </c>
      <c r="I23" s="21">
        <f t="shared" si="1"/>
        <v>1011.7740600268932</v>
      </c>
      <c r="J23" s="26">
        <v>83.45</v>
      </c>
    </row>
    <row r="24" spans="1:10" x14ac:dyDescent="0.3">
      <c r="A24" s="24">
        <v>45382</v>
      </c>
      <c r="B24" s="25">
        <v>35000.734997249994</v>
      </c>
      <c r="C24" s="25">
        <v>21.11</v>
      </c>
      <c r="D24" s="25">
        <v>14.532</v>
      </c>
      <c r="E24" s="25">
        <v>1.919</v>
      </c>
      <c r="F24" s="19">
        <f t="shared" si="2"/>
        <v>1658.0168165442915</v>
      </c>
      <c r="G24" s="20">
        <f t="shared" si="0"/>
        <v>2.0735667298768412E-2</v>
      </c>
      <c r="H24" s="20" cm="1">
        <f t="array" ref="H24">PRODUCT(G24:G59+1)^(1/3)-1</f>
        <v>0.23941113635575895</v>
      </c>
      <c r="I24" s="21">
        <f t="shared" si="1"/>
        <v>1003.5146179399866</v>
      </c>
      <c r="J24" s="26">
        <v>83.35</v>
      </c>
    </row>
    <row r="25" spans="1:10" x14ac:dyDescent="0.3">
      <c r="A25" s="24">
        <v>45351</v>
      </c>
      <c r="B25" s="25">
        <v>33752.059945300003</v>
      </c>
      <c r="C25" s="25">
        <v>20.779</v>
      </c>
      <c r="D25" s="25">
        <v>14.335000000000001</v>
      </c>
      <c r="E25" s="25">
        <v>1.958</v>
      </c>
      <c r="F25" s="19">
        <f t="shared" si="2"/>
        <v>1624.3351434284616</v>
      </c>
      <c r="G25" s="20">
        <f t="shared" si="0"/>
        <v>1.0761903298247333E-2</v>
      </c>
      <c r="H25" s="20" cm="1">
        <f t="array" ref="H25">PRODUCT(G25:G60+1)^(1/3)-1</f>
        <v>0.15627730601270473</v>
      </c>
      <c r="I25" s="21">
        <f t="shared" si="1"/>
        <v>995.1525588663261</v>
      </c>
      <c r="J25" s="26">
        <v>82.9</v>
      </c>
    </row>
    <row r="26" spans="1:10" x14ac:dyDescent="0.3">
      <c r="A26" s="24">
        <v>45322</v>
      </c>
      <c r="B26" s="25">
        <v>32441.323157699997</v>
      </c>
      <c r="C26" s="25">
        <v>20.187000000000001</v>
      </c>
      <c r="D26" s="25">
        <v>14.177</v>
      </c>
      <c r="E26" s="25">
        <v>2.0070000000000001</v>
      </c>
      <c r="F26" s="19">
        <f t="shared" si="2"/>
        <v>1607.0403307920938</v>
      </c>
      <c r="G26" s="20">
        <f t="shared" si="0"/>
        <v>-1.4090021105626405E-2</v>
      </c>
      <c r="H26" s="20" cm="1">
        <f t="array" ref="H26">PRODUCT(G26:G61+1)^(1/3)-1</f>
        <v>0.16648345886038229</v>
      </c>
      <c r="I26" s="21">
        <f t="shared" si="1"/>
        <v>987.11923100722845</v>
      </c>
      <c r="J26" s="26">
        <v>83.1</v>
      </c>
    </row>
    <row r="27" spans="1:10" x14ac:dyDescent="0.3">
      <c r="A27" s="24">
        <v>45291</v>
      </c>
      <c r="B27" s="25">
        <v>32287.181947410001</v>
      </c>
      <c r="C27" s="25">
        <v>19.808</v>
      </c>
      <c r="D27" s="25">
        <v>14.246</v>
      </c>
      <c r="E27" s="25">
        <v>2.0310000000000001</v>
      </c>
      <c r="F27" s="19">
        <f t="shared" si="2"/>
        <v>1630.0071661656907</v>
      </c>
      <c r="G27" s="20">
        <f t="shared" si="0"/>
        <v>1.4004421012187906E-2</v>
      </c>
      <c r="H27" s="20" cm="1">
        <f t="array" ref="H27">PRODUCT(G27:G62+1)^(1/3)-1</f>
        <v>0.1693794701742064</v>
      </c>
      <c r="I27" s="21">
        <f t="shared" si="1"/>
        <v>979.22824042251625</v>
      </c>
      <c r="J27" s="26">
        <v>83.19</v>
      </c>
    </row>
    <row r="28" spans="1:10" x14ac:dyDescent="0.3">
      <c r="A28" s="24">
        <v>45260</v>
      </c>
      <c r="B28" s="25">
        <v>30870.336430880001</v>
      </c>
      <c r="C28" s="25">
        <v>19.204000000000001</v>
      </c>
      <c r="D28" s="25">
        <v>14.201000000000001</v>
      </c>
      <c r="E28" s="25">
        <v>2.093</v>
      </c>
      <c r="F28" s="19">
        <f t="shared" si="2"/>
        <v>1607.4951276234117</v>
      </c>
      <c r="G28" s="20">
        <f t="shared" si="0"/>
        <v>2.4758983917356314E-2</v>
      </c>
      <c r="H28" s="20" cm="1">
        <f t="array" ref="H28">PRODUCT(G28:G63+1)^(1/3)-1</f>
        <v>0.17663405726600656</v>
      </c>
      <c r="I28" s="21">
        <f t="shared" si="1"/>
        <v>971.1056637476587</v>
      </c>
      <c r="J28" s="26">
        <v>83.36</v>
      </c>
    </row>
    <row r="29" spans="1:10" x14ac:dyDescent="0.3">
      <c r="A29" s="24">
        <v>45230</v>
      </c>
      <c r="B29" s="25">
        <v>28227.9787497</v>
      </c>
      <c r="C29" s="25">
        <v>17.995000000000001</v>
      </c>
      <c r="D29" s="25">
        <v>14.345000000000001</v>
      </c>
      <c r="E29" s="25">
        <v>2.2349999999999999</v>
      </c>
      <c r="F29" s="19">
        <f t="shared" si="2"/>
        <v>1568.6567796443455</v>
      </c>
      <c r="G29" s="20">
        <f t="shared" si="0"/>
        <v>1.0724809168106919E-2</v>
      </c>
      <c r="H29" s="20" cm="1">
        <f t="array" ref="H29">PRODUCT(G29:G64+1)^(1/3)-1</f>
        <v>0.21014228882629804</v>
      </c>
      <c r="I29" s="21">
        <f t="shared" si="1"/>
        <v>963.2294382348806</v>
      </c>
      <c r="J29" s="26">
        <v>83.26</v>
      </c>
    </row>
    <row r="30" spans="1:10" x14ac:dyDescent="0.3">
      <c r="A30" s="24">
        <v>45199</v>
      </c>
      <c r="B30" s="25">
        <v>29022.61972128</v>
      </c>
      <c r="C30" s="25">
        <v>18.7</v>
      </c>
      <c r="D30" s="25">
        <v>14.199</v>
      </c>
      <c r="E30" s="25">
        <v>2.1659999999999999</v>
      </c>
      <c r="F30" s="19">
        <f t="shared" si="2"/>
        <v>1552.0117498010695</v>
      </c>
      <c r="G30" s="20">
        <f t="shared" si="0"/>
        <v>-3.1440711751176131E-3</v>
      </c>
      <c r="H30" s="20" cm="1">
        <f t="array" ref="H30">PRODUCT(G30:G65+1)^(1/3)-1</f>
        <v>0.15556408301443669</v>
      </c>
      <c r="I30" s="21">
        <f t="shared" si="1"/>
        <v>955.92018002865564</v>
      </c>
      <c r="J30" s="26">
        <v>83.03</v>
      </c>
    </row>
    <row r="31" spans="1:10" x14ac:dyDescent="0.3">
      <c r="A31" s="24">
        <v>45169</v>
      </c>
      <c r="B31" s="25">
        <v>30154.170428200003</v>
      </c>
      <c r="C31" s="25">
        <v>19.367999999999999</v>
      </c>
      <c r="D31" s="25">
        <v>14.151999999999999</v>
      </c>
      <c r="E31" s="25">
        <v>2.0920000000000001</v>
      </c>
      <c r="F31" s="19">
        <f t="shared" si="2"/>
        <v>1556.9067755163157</v>
      </c>
      <c r="G31" s="20">
        <f t="shared" si="0"/>
        <v>-3.076078937780613E-3</v>
      </c>
      <c r="H31" s="20" cm="1">
        <f t="array" ref="H31">PRODUCT(G31:G66+1)^(1/3)-1</f>
        <v>0.1458207310244084</v>
      </c>
      <c r="I31" s="21">
        <f t="shared" si="1"/>
        <v>948.61418609000839</v>
      </c>
      <c r="J31" s="26">
        <v>82.7</v>
      </c>
    </row>
    <row r="32" spans="1:10" x14ac:dyDescent="0.3">
      <c r="A32" s="24">
        <v>45138</v>
      </c>
      <c r="B32" s="25">
        <v>30848.471871359994</v>
      </c>
      <c r="C32" s="25">
        <v>19.753</v>
      </c>
      <c r="D32" s="25">
        <v>14.276999999999999</v>
      </c>
      <c r="E32" s="25">
        <v>2.0830000000000002</v>
      </c>
      <c r="F32" s="19">
        <f t="shared" si="2"/>
        <v>1561.7107209720039</v>
      </c>
      <c r="G32" s="20">
        <f t="shared" si="0"/>
        <v>1.3213822817888632E-2</v>
      </c>
      <c r="H32" s="20" cm="1">
        <f t="array" ref="H32">PRODUCT(G32:G67+1)^(1/3)-1</f>
        <v>0.16117871744394496</v>
      </c>
      <c r="I32" s="21">
        <f t="shared" si="1"/>
        <v>941.25773721382916</v>
      </c>
      <c r="J32" s="26">
        <v>82.24</v>
      </c>
    </row>
    <row r="33" spans="1:10" x14ac:dyDescent="0.3">
      <c r="A33" s="24">
        <v>45107</v>
      </c>
      <c r="B33" s="25">
        <v>29704.775375910001</v>
      </c>
      <c r="C33" s="25">
        <v>19.271999999999998</v>
      </c>
      <c r="D33" s="25">
        <v>14.282</v>
      </c>
      <c r="E33" s="25">
        <v>2.133</v>
      </c>
      <c r="F33" s="19">
        <f t="shared" si="2"/>
        <v>1541.343678700187</v>
      </c>
      <c r="G33" s="20">
        <f t="shared" si="0"/>
        <v>-6.3974386898445479E-3</v>
      </c>
      <c r="H33" s="20" cm="1">
        <f t="array" ref="H33">PRODUCT(G33:G68+1)^(1/3)-1</f>
        <v>0.15375480555440157</v>
      </c>
      <c r="I33" s="21">
        <f t="shared" si="1"/>
        <v>933.36820991898696</v>
      </c>
      <c r="J33" s="26">
        <v>82.09</v>
      </c>
    </row>
    <row r="34" spans="1:10" x14ac:dyDescent="0.3">
      <c r="A34" s="24">
        <v>45077</v>
      </c>
      <c r="B34" s="25">
        <v>28276.509813240002</v>
      </c>
      <c r="C34" s="25">
        <v>18.228000000000002</v>
      </c>
      <c r="D34" s="25">
        <v>14.266</v>
      </c>
      <c r="E34" s="25">
        <v>2.2440000000000002</v>
      </c>
      <c r="F34" s="19">
        <f t="shared" si="2"/>
        <v>1551.2678194667544</v>
      </c>
      <c r="G34" s="20">
        <f t="shared" si="0"/>
        <v>4.645011398704213E-3</v>
      </c>
      <c r="H34" s="20" cm="1">
        <f t="array" ref="H34">PRODUCT(G34:G69+1)^(1/3)-1</f>
        <v>0.13987529829612999</v>
      </c>
      <c r="I34" s="21">
        <f t="shared" si="1"/>
        <v>925.49889999971754</v>
      </c>
      <c r="J34" s="26">
        <v>82.68</v>
      </c>
    </row>
    <row r="35" spans="1:10" x14ac:dyDescent="0.3">
      <c r="A35" s="24">
        <v>45046</v>
      </c>
      <c r="B35" s="25">
        <v>28250.770872239998</v>
      </c>
      <c r="C35" s="25">
        <v>18.295999999999999</v>
      </c>
      <c r="D35" s="25">
        <v>14.398</v>
      </c>
      <c r="E35" s="25">
        <v>2.214</v>
      </c>
      <c r="F35" s="19">
        <f t="shared" si="2"/>
        <v>1544.0954783690424</v>
      </c>
      <c r="G35" s="20">
        <f t="shared" si="0"/>
        <v>-4.1844145883783712E-3</v>
      </c>
      <c r="H35" s="20" cm="1">
        <f t="array" ref="H35">PRODUCT(G35:G70+1)^(1/3)-1</f>
        <v>0.12213215424698465</v>
      </c>
      <c r="I35" s="21">
        <f t="shared" si="1"/>
        <v>917.33665205300542</v>
      </c>
      <c r="J35" s="26">
        <v>81.72</v>
      </c>
    </row>
    <row r="36" spans="1:10" x14ac:dyDescent="0.3">
      <c r="A36" s="24">
        <v>45016</v>
      </c>
      <c r="B36" s="25">
        <v>28000.441604719996</v>
      </c>
      <c r="C36" s="25">
        <v>18.058</v>
      </c>
      <c r="D36" s="25">
        <v>14.43</v>
      </c>
      <c r="E36" s="25">
        <v>2.2410000000000001</v>
      </c>
      <c r="F36" s="19">
        <f t="shared" si="2"/>
        <v>1550.5837636903309</v>
      </c>
      <c r="G36" s="20">
        <f t="shared" si="0"/>
        <v>-2.1408503079597074E-2</v>
      </c>
      <c r="H36" s="20" cm="1">
        <f t="array" ref="H36">PRODUCT(G36:G71+1)^(1/3)-1</f>
        <v>0.1223562411398722</v>
      </c>
      <c r="I36" s="21">
        <f t="shared" si="1"/>
        <v>909.02982245264332</v>
      </c>
      <c r="J36" s="26">
        <v>82.16</v>
      </c>
    </row>
    <row r="37" spans="1:10" x14ac:dyDescent="0.3">
      <c r="A37" s="24">
        <v>44985</v>
      </c>
      <c r="B37" s="25">
        <v>27321.63106</v>
      </c>
      <c r="C37" s="25">
        <v>17.242999999999999</v>
      </c>
      <c r="D37" s="25">
        <v>14.85</v>
      </c>
      <c r="E37" s="25">
        <v>2.2730000000000001</v>
      </c>
      <c r="F37" s="19">
        <f t="shared" si="2"/>
        <v>1584.5056579481529</v>
      </c>
      <c r="G37" s="20">
        <f t="shared" si="0"/>
        <v>-1.0959863862254782E-2</v>
      </c>
      <c r="H37" s="20" cm="1">
        <f t="array" ref="H37">PRODUCT(G37:G72+1)^(1/3)-1</f>
        <v>0.17701628790575419</v>
      </c>
      <c r="I37" s="21">
        <f t="shared" si="1"/>
        <v>900.87142492422095</v>
      </c>
      <c r="J37" s="26">
        <v>82.64</v>
      </c>
    </row>
    <row r="38" spans="1:10" x14ac:dyDescent="0.3">
      <c r="A38" s="24">
        <v>44957</v>
      </c>
      <c r="B38" s="25">
        <v>27821.444500099999</v>
      </c>
      <c r="C38" s="25">
        <v>17.366</v>
      </c>
      <c r="D38" s="25">
        <v>15.002000000000001</v>
      </c>
      <c r="E38" s="25">
        <v>2.2120000000000002</v>
      </c>
      <c r="F38" s="19">
        <f t="shared" si="2"/>
        <v>1602.0640619659102</v>
      </c>
      <c r="G38" s="20">
        <f t="shared" si="0"/>
        <v>-4.6217545546881622E-3</v>
      </c>
      <c r="H38" s="20" cm="1">
        <f t="array" ref="H38">PRODUCT(G38:G73+1)^(1/3)-1</f>
        <v>0.15391949805135585</v>
      </c>
      <c r="I38" s="21">
        <f t="shared" si="1"/>
        <v>892.35171273399237</v>
      </c>
      <c r="J38" s="26">
        <v>81.739999999999995</v>
      </c>
    </row>
    <row r="39" spans="1:10" x14ac:dyDescent="0.3">
      <c r="A39" s="24">
        <v>44926</v>
      </c>
      <c r="B39" s="25">
        <v>26271.91402176</v>
      </c>
      <c r="C39" s="25">
        <v>16.323</v>
      </c>
      <c r="D39" s="25">
        <v>15.15</v>
      </c>
      <c r="E39" s="25">
        <v>2.339</v>
      </c>
      <c r="F39" s="19">
        <f t="shared" si="2"/>
        <v>1609.5027888108802</v>
      </c>
      <c r="G39" s="20">
        <f t="shared" si="0"/>
        <v>2.6490846879018592E-2</v>
      </c>
      <c r="H39" s="20" cm="1">
        <f t="array" ref="H39">PRODUCT(G39:G74+1)^(1/3)-1</f>
        <v>0.12912235437674568</v>
      </c>
      <c r="I39" s="21">
        <f t="shared" si="1"/>
        <v>883.5380322575453</v>
      </c>
      <c r="J39" s="26">
        <v>82.72</v>
      </c>
    </row>
    <row r="40" spans="1:10" x14ac:dyDescent="0.3">
      <c r="A40" s="24">
        <v>44895</v>
      </c>
      <c r="B40" s="25">
        <v>26898.457425119999</v>
      </c>
      <c r="C40" s="25">
        <v>17.155000000000001</v>
      </c>
      <c r="D40" s="25">
        <v>15.304</v>
      </c>
      <c r="E40" s="25">
        <v>2.2189999999999999</v>
      </c>
      <c r="F40" s="19">
        <f t="shared" si="2"/>
        <v>1567.966040519965</v>
      </c>
      <c r="G40" s="20">
        <f t="shared" si="0"/>
        <v>1.54926487587701E-2</v>
      </c>
      <c r="H40" s="20" cm="1">
        <f t="array" ref="H40">PRODUCT(G40:G75+1)^(1/3)-1</f>
        <v>0.13020411737965776</v>
      </c>
      <c r="I40" s="21">
        <f t="shared" si="1"/>
        <v>874.79374818118481</v>
      </c>
      <c r="J40" s="26">
        <v>81.36</v>
      </c>
    </row>
    <row r="41" spans="1:10" x14ac:dyDescent="0.3">
      <c r="A41" s="24">
        <v>44865</v>
      </c>
      <c r="B41" s="25">
        <v>25394.903153609997</v>
      </c>
      <c r="C41" s="25">
        <v>16.446999999999999</v>
      </c>
      <c r="D41" s="25">
        <v>15.375999999999999</v>
      </c>
      <c r="E41" s="25">
        <v>2.3319999999999999</v>
      </c>
      <c r="F41" s="19">
        <f t="shared" si="2"/>
        <v>1544.0446983407307</v>
      </c>
      <c r="G41" s="20">
        <f t="shared" si="0"/>
        <v>1.7359423893553938E-2</v>
      </c>
      <c r="H41" s="20" cm="1">
        <f t="array" ref="H41">PRODUCT(G41:G76+1)^(1/3)-1</f>
        <v>0.13758730501334915</v>
      </c>
      <c r="I41" s="21">
        <f t="shared" si="1"/>
        <v>866.27593044949924</v>
      </c>
      <c r="J41" s="26">
        <v>82.77</v>
      </c>
    </row>
    <row r="42" spans="1:10" x14ac:dyDescent="0.3">
      <c r="A42" s="24">
        <v>44834</v>
      </c>
      <c r="B42" s="25">
        <v>23585.032043430001</v>
      </c>
      <c r="C42" s="25">
        <v>15.54</v>
      </c>
      <c r="D42" s="25">
        <v>15.347</v>
      </c>
      <c r="E42" s="25">
        <v>2.4620000000000002</v>
      </c>
      <c r="F42" s="19">
        <f t="shared" si="2"/>
        <v>1517.6983296930503</v>
      </c>
      <c r="G42" s="20">
        <f t="shared" si="0"/>
        <v>1.9557349741092578E-2</v>
      </c>
      <c r="H42" s="20" cm="1">
        <f t="array" ref="H42">PRODUCT(G42:G77+1)^(1/3)-1</f>
        <v>0.1357043581426558</v>
      </c>
      <c r="I42" s="21">
        <f t="shared" si="1"/>
        <v>857.88914564202071</v>
      </c>
      <c r="J42" s="26">
        <v>81.510000000000005</v>
      </c>
    </row>
    <row r="43" spans="1:10" x14ac:dyDescent="0.3">
      <c r="A43" s="24">
        <v>44804</v>
      </c>
      <c r="B43" s="25">
        <v>25435.461149929997</v>
      </c>
      <c r="C43" s="25">
        <v>17.087</v>
      </c>
      <c r="D43" s="25">
        <v>15.153</v>
      </c>
      <c r="E43" s="25">
        <v>2.2570000000000001</v>
      </c>
      <c r="F43" s="19">
        <f t="shared" si="2"/>
        <v>1488.5855416357463</v>
      </c>
      <c r="G43" s="20">
        <f t="shared" si="0"/>
        <v>-5.3439830771595531E-3</v>
      </c>
      <c r="H43" s="20" cm="1">
        <f t="array" ref="H43">PRODUCT(G43:G78+1)^(1/3)-1</f>
        <v>0.13194509971584401</v>
      </c>
      <c r="I43" s="21">
        <f t="shared" si="1"/>
        <v>849.63535608286031</v>
      </c>
      <c r="J43" s="26">
        <v>79.489999999999995</v>
      </c>
    </row>
    <row r="44" spans="1:10" x14ac:dyDescent="0.3">
      <c r="A44" s="24">
        <v>44773</v>
      </c>
      <c r="B44" s="25">
        <v>26357.824326440001</v>
      </c>
      <c r="C44" s="25">
        <v>17.611999999999998</v>
      </c>
      <c r="D44" s="25">
        <v>15.202</v>
      </c>
      <c r="E44" s="25">
        <v>2.1749999999999998</v>
      </c>
      <c r="F44" s="19">
        <f t="shared" si="2"/>
        <v>1496.5832572359757</v>
      </c>
      <c r="G44" s="20">
        <f t="shared" si="0"/>
        <v>-5.0342261386780995E-3</v>
      </c>
      <c r="H44" s="20" cm="1">
        <f t="array" ref="H44">PRODUCT(G44:G79+1)^(1/3)-1</f>
        <v>0.1388606492033897</v>
      </c>
      <c r="I44" s="21">
        <f t="shared" si="1"/>
        <v>841.81494517576584</v>
      </c>
      <c r="J44" s="26">
        <v>79.34</v>
      </c>
    </row>
    <row r="45" spans="1:10" x14ac:dyDescent="0.3">
      <c r="A45" s="24">
        <v>44742</v>
      </c>
      <c r="B45" s="25">
        <v>24516.230759400001</v>
      </c>
      <c r="C45" s="25">
        <v>16.298999999999999</v>
      </c>
      <c r="D45" s="25">
        <v>15.417999999999999</v>
      </c>
      <c r="E45" s="25">
        <v>2.3079999999999998</v>
      </c>
      <c r="F45" s="19">
        <f t="shared" si="2"/>
        <v>1504.155516252531</v>
      </c>
      <c r="G45" s="20">
        <f t="shared" si="0"/>
        <v>1.0218071756289859E-2</v>
      </c>
      <c r="H45" s="20" cm="1">
        <f t="array" ref="H45">PRODUCT(G45:G80+1)^(1/3)-1</f>
        <v>0.13877266494370888</v>
      </c>
      <c r="I45" s="21">
        <f t="shared" si="1"/>
        <v>833.98467307666908</v>
      </c>
      <c r="J45" s="26">
        <v>78.95</v>
      </c>
    </row>
    <row r="46" spans="1:10" x14ac:dyDescent="0.3">
      <c r="A46" s="24">
        <v>44712</v>
      </c>
      <c r="B46" s="25">
        <v>26305.127821989998</v>
      </c>
      <c r="C46" s="25">
        <v>17.667000000000002</v>
      </c>
      <c r="D46" s="25">
        <v>15.241</v>
      </c>
      <c r="E46" s="25">
        <v>2.1110000000000002</v>
      </c>
      <c r="F46" s="19">
        <f t="shared" si="2"/>
        <v>1488.9414061238465</v>
      </c>
      <c r="G46" s="20">
        <f t="shared" si="0"/>
        <v>3.9208113679783496E-2</v>
      </c>
      <c r="H46" s="20" cm="1">
        <f t="array" ref="H46">PRODUCT(G46:G81+1)^(1/3)-1</f>
        <v>0.13793247627683325</v>
      </c>
      <c r="I46" s="21">
        <f t="shared" si="1"/>
        <v>826.08777273034696</v>
      </c>
      <c r="J46" s="26">
        <v>77.569999999999993</v>
      </c>
    </row>
    <row r="47" spans="1:10" x14ac:dyDescent="0.3">
      <c r="A47" s="24">
        <v>44681</v>
      </c>
      <c r="B47" s="25">
        <v>25918.72569336</v>
      </c>
      <c r="C47" s="25">
        <v>18.09</v>
      </c>
      <c r="D47" s="25">
        <v>15.205</v>
      </c>
      <c r="E47" s="25">
        <v>2.0550000000000002</v>
      </c>
      <c r="F47" s="19">
        <f t="shared" si="2"/>
        <v>1432.7653782951907</v>
      </c>
      <c r="G47" s="20">
        <f t="shared" si="0"/>
        <v>-1.8078362034600448E-2</v>
      </c>
      <c r="H47" s="20" cm="1">
        <f t="array" ref="H47">PRODUCT(G47:G82+1)^(1/3)-1</f>
        <v>0.1077540146379603</v>
      </c>
      <c r="I47" s="21">
        <f t="shared" si="1"/>
        <v>818.26742855771602</v>
      </c>
      <c r="J47" s="26">
        <v>76.52</v>
      </c>
    </row>
    <row r="48" spans="1:10" x14ac:dyDescent="0.3">
      <c r="A48" s="24">
        <v>44651</v>
      </c>
      <c r="B48" s="25">
        <v>27945.531969300002</v>
      </c>
      <c r="C48" s="25">
        <v>19.152000000000001</v>
      </c>
      <c r="D48" s="25">
        <v>15.249000000000001</v>
      </c>
      <c r="E48" s="25">
        <v>1.915</v>
      </c>
      <c r="F48" s="19">
        <f t="shared" si="2"/>
        <v>1459.1443175281954</v>
      </c>
      <c r="G48" s="20">
        <f t="shared" si="0"/>
        <v>2.0825327574705454E-2</v>
      </c>
      <c r="H48" s="20" cm="1">
        <f t="array" ref="H48">PRODUCT(G48:G83+1)^(1/3)-1</f>
        <v>0.12940876390083722</v>
      </c>
      <c r="I48" s="21">
        <f t="shared" si="1"/>
        <v>810.6680057906193</v>
      </c>
      <c r="J48" s="26">
        <v>75.900000000000006</v>
      </c>
    </row>
    <row r="49" spans="1:10" x14ac:dyDescent="0.3">
      <c r="A49" s="24">
        <v>44620</v>
      </c>
      <c r="B49" s="25">
        <v>27205.333807200001</v>
      </c>
      <c r="C49" s="25">
        <v>19.033000000000001</v>
      </c>
      <c r="D49" s="25">
        <v>14.909000000000001</v>
      </c>
      <c r="E49" s="25">
        <v>1.946</v>
      </c>
      <c r="F49" s="19">
        <f t="shared" si="2"/>
        <v>1429.3770717805915</v>
      </c>
      <c r="G49" s="20">
        <f t="shared" si="0"/>
        <v>0.16848106896351589</v>
      </c>
      <c r="H49" s="20" cm="1">
        <f t="array" ref="H49">PRODUCT(G49:G84+1)^(1/3)-1</f>
        <v>0.11294583389006196</v>
      </c>
      <c r="I49" s="21">
        <f t="shared" si="1"/>
        <v>802.70252551143369</v>
      </c>
      <c r="J49" s="26">
        <v>75.489999999999995</v>
      </c>
    </row>
    <row r="50" spans="1:10" x14ac:dyDescent="0.3">
      <c r="A50" s="24">
        <v>44592</v>
      </c>
      <c r="B50" s="25">
        <v>27571.460656560001</v>
      </c>
      <c r="C50" s="25">
        <v>22.539000000000001</v>
      </c>
      <c r="D50" s="25">
        <v>13.638999999999999</v>
      </c>
      <c r="E50" s="25">
        <v>1.708</v>
      </c>
      <c r="F50" s="19">
        <f t="shared" si="2"/>
        <v>1223.2779030374018</v>
      </c>
      <c r="G50" s="20">
        <f t="shared" si="0"/>
        <v>-4.8346277389425985E-2</v>
      </c>
      <c r="H50" s="20" cm="1">
        <f t="array" ref="H50">PRODUCT(G50:G85+1)^(1/3)-1</f>
        <v>5.6372724123712414E-2</v>
      </c>
      <c r="I50" s="21">
        <f t="shared" si="1"/>
        <v>794.86983594720778</v>
      </c>
      <c r="J50" s="26">
        <v>74.53</v>
      </c>
    </row>
    <row r="51" spans="1:10" x14ac:dyDescent="0.3">
      <c r="A51" s="24">
        <v>44561</v>
      </c>
      <c r="B51" s="25">
        <v>28972.1565749</v>
      </c>
      <c r="C51" s="25">
        <v>22.539000000000001</v>
      </c>
      <c r="D51" s="25">
        <v>13.638999999999999</v>
      </c>
      <c r="E51" s="25">
        <v>1.708</v>
      </c>
      <c r="F51" s="19">
        <f t="shared" si="2"/>
        <v>1285.4233362127866</v>
      </c>
      <c r="G51" s="20">
        <f t="shared" si="0"/>
        <v>3.1412933773255824E-2</v>
      </c>
      <c r="H51" s="20" cm="1">
        <f t="array" ref="H51">PRODUCT(G51:G86+1)^(1/3)-1</f>
        <v>8.6105355125845273E-2</v>
      </c>
      <c r="I51" s="21">
        <f t="shared" si="1"/>
        <v>788.80644526540152</v>
      </c>
      <c r="J51" s="26">
        <v>74.47</v>
      </c>
    </row>
    <row r="52" spans="1:10" x14ac:dyDescent="0.3">
      <c r="A52" s="24">
        <v>44530</v>
      </c>
      <c r="B52" s="25">
        <v>28089.774353430003</v>
      </c>
      <c r="C52" s="25">
        <v>22.539000000000001</v>
      </c>
      <c r="D52" s="25">
        <v>13.638999999999999</v>
      </c>
      <c r="E52" s="25">
        <v>1.708</v>
      </c>
      <c r="F52" s="19">
        <f t="shared" si="2"/>
        <v>1246.2742070823906</v>
      </c>
      <c r="G52" s="20">
        <f t="shared" si="0"/>
        <v>-2.1865505136489771E-2</v>
      </c>
      <c r="H52" s="20" cm="1">
        <f t="array" ref="H52">PRODUCT(G52:G87+1)^(1/3)-1</f>
        <v>7.752783428325305E-2</v>
      </c>
      <c r="I52" s="21">
        <f t="shared" si="1"/>
        <v>782.4717823768417</v>
      </c>
      <c r="J52" s="26">
        <v>75.09</v>
      </c>
    </row>
    <row r="53" spans="1:10" x14ac:dyDescent="0.3">
      <c r="A53" s="24">
        <v>44500</v>
      </c>
      <c r="B53" s="25">
        <v>28717.701400920003</v>
      </c>
      <c r="C53" s="25">
        <v>22.539000000000001</v>
      </c>
      <c r="D53" s="25">
        <v>13.638999999999999</v>
      </c>
      <c r="E53" s="25">
        <v>1.708</v>
      </c>
      <c r="F53" s="19">
        <f t="shared" si="2"/>
        <v>1274.1337859230666</v>
      </c>
      <c r="G53" s="20">
        <f t="shared" si="0"/>
        <v>6.1814733428810609E-2</v>
      </c>
      <c r="H53" s="20" cm="1">
        <f t="array" ref="H53">PRODUCT(G53:G88+1)^(1/3)-1</f>
        <v>7.5359124689073465E-2</v>
      </c>
      <c r="I53" s="21">
        <f t="shared" si="1"/>
        <v>776.46384316768695</v>
      </c>
      <c r="J53" s="26">
        <v>74.92</v>
      </c>
    </row>
    <row r="54" spans="1:10" x14ac:dyDescent="0.3">
      <c r="A54" s="24">
        <v>44469</v>
      </c>
      <c r="B54" s="25">
        <v>27045.868263839999</v>
      </c>
      <c r="C54" s="25">
        <v>22.539000000000001</v>
      </c>
      <c r="D54" s="25">
        <v>13.638999999999999</v>
      </c>
      <c r="E54" s="25">
        <v>1.708</v>
      </c>
      <c r="F54" s="19">
        <f t="shared" si="2"/>
        <v>1199.9586611579928</v>
      </c>
      <c r="G54" s="20">
        <f t="shared" si="0"/>
        <v>-2.5408241497504869E-2</v>
      </c>
      <c r="H54" s="20" cm="1">
        <f t="array" ref="H54">PRODUCT(G54:G89+1)^(1/3)-1</f>
        <v>6.0796057564289185E-2</v>
      </c>
      <c r="I54" s="21">
        <f t="shared" si="1"/>
        <v>769.96277608290848</v>
      </c>
      <c r="J54" s="26">
        <v>74.16</v>
      </c>
    </row>
    <row r="55" spans="1:10" x14ac:dyDescent="0.3">
      <c r="A55" s="24">
        <v>44439</v>
      </c>
      <c r="B55" s="25">
        <v>27750.9716534</v>
      </c>
      <c r="C55" s="25">
        <v>22.539000000000001</v>
      </c>
      <c r="D55" s="25">
        <v>13.638999999999999</v>
      </c>
      <c r="E55" s="25">
        <v>1.708</v>
      </c>
      <c r="F55" s="19">
        <f t="shared" si="2"/>
        <v>1231.2423644970938</v>
      </c>
      <c r="G55" s="20">
        <f t="shared" si="0"/>
        <v>0.12667060249221929</v>
      </c>
      <c r="H55" s="20" cm="1">
        <f t="array" ref="H55">PRODUCT(G55:G90+1)^(1/3)-1</f>
        <v>8.2440510718101434E-2</v>
      </c>
      <c r="I55" s="21">
        <f t="shared" si="1"/>
        <v>764.02139060312186</v>
      </c>
      <c r="J55" s="26">
        <v>72.95</v>
      </c>
    </row>
    <row r="56" spans="1:10" x14ac:dyDescent="0.3">
      <c r="A56" s="24">
        <v>44408</v>
      </c>
      <c r="B56" s="25">
        <v>27589.203681480001</v>
      </c>
      <c r="C56" s="25">
        <v>25.245999999999999</v>
      </c>
      <c r="D56" s="25">
        <v>12.058</v>
      </c>
      <c r="E56" s="25">
        <v>1.696</v>
      </c>
      <c r="F56" s="19">
        <f t="shared" si="2"/>
        <v>1092.8148491436268</v>
      </c>
      <c r="G56" s="20">
        <f t="shared" si="0"/>
        <v>0.18405033342727539</v>
      </c>
      <c r="H56" s="20" cm="1">
        <f t="array" ref="H56">PRODUCT(G56:G91+1)^(1/3)-1</f>
        <v>6.2656720488297291E-2</v>
      </c>
      <c r="I56" s="21">
        <f t="shared" si="1"/>
        <v>757.64624689545064</v>
      </c>
      <c r="J56" s="26">
        <v>74.34</v>
      </c>
    </row>
    <row r="57" spans="1:10" x14ac:dyDescent="0.3">
      <c r="A57" s="24">
        <v>44377</v>
      </c>
      <c r="B57" s="25">
        <v>27407.812695119999</v>
      </c>
      <c r="C57" s="25">
        <v>29.696000000000002</v>
      </c>
      <c r="D57" s="25">
        <v>10.087999999999999</v>
      </c>
      <c r="E57" s="25">
        <v>1.696</v>
      </c>
      <c r="F57" s="19">
        <f t="shared" si="2"/>
        <v>922.9462787957973</v>
      </c>
      <c r="G57" s="20">
        <f t="shared" si="0"/>
        <v>3.9029041866772252E-2</v>
      </c>
      <c r="H57" s="20" cm="1">
        <f t="array" ref="H57">PRODUCT(G57:G92+1)^(1/3)-1</f>
        <v>5.7496348958034904E-3</v>
      </c>
      <c r="I57" s="21">
        <f t="shared" si="1"/>
        <v>752.21225763379107</v>
      </c>
      <c r="J57" s="26">
        <v>74.36</v>
      </c>
    </row>
    <row r="58" spans="1:10" x14ac:dyDescent="0.3">
      <c r="A58" s="24">
        <v>44347</v>
      </c>
      <c r="B58" s="25">
        <v>26378.293185990002</v>
      </c>
      <c r="C58" s="25">
        <v>29.696000000000002</v>
      </c>
      <c r="D58" s="25">
        <v>10.087999999999999</v>
      </c>
      <c r="E58" s="25">
        <v>1.696</v>
      </c>
      <c r="F58" s="19">
        <f t="shared" si="2"/>
        <v>888.27765308425376</v>
      </c>
      <c r="G58" s="20">
        <f t="shared" si="0"/>
        <v>-5.5579915521750678E-3</v>
      </c>
      <c r="H58" s="20" cm="1">
        <f t="array" ref="H58">PRODUCT(G58:G93+1)^(1/3)-1</f>
        <v>-3.1319981441660927E-3</v>
      </c>
      <c r="I58" s="21">
        <f t="shared" si="1"/>
        <v>748.27531036395987</v>
      </c>
      <c r="J58" s="26">
        <v>72.510000000000005</v>
      </c>
    </row>
    <row r="59" spans="1:10" x14ac:dyDescent="0.3">
      <c r="A59" s="24">
        <v>44316</v>
      </c>
      <c r="B59" s="25">
        <v>26525.72292995</v>
      </c>
      <c r="C59" s="25">
        <v>29.696000000000002</v>
      </c>
      <c r="D59" s="25">
        <v>10.087999999999999</v>
      </c>
      <c r="E59" s="25">
        <v>1.696</v>
      </c>
      <c r="F59" s="19">
        <f t="shared" si="2"/>
        <v>893.24228616480332</v>
      </c>
      <c r="G59" s="20">
        <f t="shared" si="0"/>
        <v>2.5714572103282984E-2</v>
      </c>
      <c r="H59" s="20" cm="1">
        <f t="array" ref="H59">PRODUCT(G59:G94+1)^(1/3)-1</f>
        <v>1.0774075258558335E-2</v>
      </c>
      <c r="I59" s="21">
        <f t="shared" si="1"/>
        <v>744.6065862726316</v>
      </c>
      <c r="J59" s="26">
        <v>74.05</v>
      </c>
    </row>
    <row r="60" spans="1:10" x14ac:dyDescent="0.3">
      <c r="A60" s="24">
        <v>44286</v>
      </c>
      <c r="B60" s="25">
        <v>25102.216151519999</v>
      </c>
      <c r="C60" s="25">
        <v>28.824999999999999</v>
      </c>
      <c r="D60" s="25">
        <v>10.118</v>
      </c>
      <c r="E60" s="25">
        <v>1.738</v>
      </c>
      <c r="F60" s="19">
        <f t="shared" si="2"/>
        <v>870.84878235975714</v>
      </c>
      <c r="G60" s="20">
        <f t="shared" si="0"/>
        <v>-0.17119356548131415</v>
      </c>
      <c r="H60" s="20" cm="1">
        <f t="array" ref="H60">PRODUCT(G60:G95+1)^(1/3)-1</f>
        <v>5.3469855801145716E-2</v>
      </c>
      <c r="I60" s="21">
        <f t="shared" si="1"/>
        <v>740.74736042715779</v>
      </c>
      <c r="J60" s="26">
        <v>73.14</v>
      </c>
    </row>
    <row r="61" spans="1:10" x14ac:dyDescent="0.3">
      <c r="A61" s="24">
        <v>44255</v>
      </c>
      <c r="B61" s="25">
        <v>24709.932213119999</v>
      </c>
      <c r="C61" s="25">
        <v>23.516999999999999</v>
      </c>
      <c r="D61" s="25">
        <v>10.252000000000001</v>
      </c>
      <c r="E61" s="25">
        <v>2.0880000000000001</v>
      </c>
      <c r="F61" s="19">
        <f t="shared" si="2"/>
        <v>1050.7263772215845</v>
      </c>
      <c r="G61" s="20">
        <f t="shared" si="0"/>
        <v>3.7764028593824994E-2</v>
      </c>
      <c r="H61" s="20" cm="1">
        <f t="array" ref="H61">PRODUCT(G61:G96+1)^(1/3)-1</f>
        <v>0.11294024673495584</v>
      </c>
      <c r="I61" s="21">
        <f t="shared" si="1"/>
        <v>736.98437960754347</v>
      </c>
      <c r="J61" s="26">
        <v>73.92</v>
      </c>
    </row>
    <row r="62" spans="1:10" x14ac:dyDescent="0.3">
      <c r="A62" s="24">
        <v>44227</v>
      </c>
      <c r="B62" s="25">
        <v>23810.74264696</v>
      </c>
      <c r="C62" s="25">
        <v>23.516999999999999</v>
      </c>
      <c r="D62" s="25">
        <v>10.252000000000001</v>
      </c>
      <c r="E62" s="25">
        <v>2.0880000000000001</v>
      </c>
      <c r="F62" s="19">
        <f t="shared" si="2"/>
        <v>1012.4906513143683</v>
      </c>
      <c r="G62" s="20">
        <f t="shared" si="0"/>
        <v>-6.728662802202301E-3</v>
      </c>
      <c r="H62" s="20" cm="1">
        <f t="array" ref="H62">PRODUCT(G62:G97+1)^(1/3)-1</f>
        <v>9.3019398644741402E-2</v>
      </c>
      <c r="I62" s="21">
        <f t="shared" si="1"/>
        <v>731.52349165936414</v>
      </c>
      <c r="J62" s="26">
        <v>72.88</v>
      </c>
    </row>
    <row r="63" spans="1:10" x14ac:dyDescent="0.3">
      <c r="A63" s="24">
        <v>44196</v>
      </c>
      <c r="B63" s="25">
        <v>23972.042437200002</v>
      </c>
      <c r="C63" s="25">
        <v>23.516999999999999</v>
      </c>
      <c r="D63" s="25">
        <v>10.252000000000001</v>
      </c>
      <c r="E63" s="25">
        <v>2.0880000000000001</v>
      </c>
      <c r="F63" s="19">
        <f t="shared" si="2"/>
        <v>1019.3495104477613</v>
      </c>
      <c r="G63" s="20">
        <f t="shared" si="0"/>
        <v>3.2993758974543708E-2</v>
      </c>
      <c r="H63" s="20" cm="1">
        <f t="array" ref="H63">PRODUCT(G63:G98+1)^(1/3)-1</f>
        <v>0.10064807643736229</v>
      </c>
      <c r="I63" s="21">
        <f t="shared" si="1"/>
        <v>726.38145425461494</v>
      </c>
      <c r="J63" s="26">
        <v>73.040000000000006</v>
      </c>
    </row>
    <row r="64" spans="1:10" x14ac:dyDescent="0.3">
      <c r="A64" s="24">
        <v>44165</v>
      </c>
      <c r="B64" s="25">
        <v>23206.376833289996</v>
      </c>
      <c r="C64" s="25">
        <v>23.516999999999999</v>
      </c>
      <c r="D64" s="25">
        <v>10.252000000000001</v>
      </c>
      <c r="E64" s="25">
        <v>2.0880000000000001</v>
      </c>
      <c r="F64" s="19">
        <f t="shared" si="2"/>
        <v>986.7915479563718</v>
      </c>
      <c r="G64" s="20">
        <f t="shared" si="0"/>
        <v>0.11482526768395718</v>
      </c>
      <c r="H64" s="20" cm="1">
        <f t="array" ref="H64">PRODUCT(G64:G99+1)^(1/3)-1</f>
        <v>8.7382238694861725E-2</v>
      </c>
      <c r="I64" s="21">
        <f t="shared" si="1"/>
        <v>721.09079476082161</v>
      </c>
      <c r="J64" s="26">
        <v>73.989999999999995</v>
      </c>
    </row>
    <row r="65" spans="1:10" x14ac:dyDescent="0.3">
      <c r="A65" s="24">
        <v>44135</v>
      </c>
      <c r="B65" s="25">
        <v>20816.156133149998</v>
      </c>
      <c r="C65" s="25">
        <v>23.516999999999999</v>
      </c>
      <c r="D65" s="25">
        <v>10.252000000000001</v>
      </c>
      <c r="E65" s="25">
        <v>2.0880000000000001</v>
      </c>
      <c r="F65" s="19">
        <f t="shared" si="2"/>
        <v>885.15355415869362</v>
      </c>
      <c r="G65" s="20">
        <f t="shared" si="0"/>
        <v>-0.11995330378287061</v>
      </c>
      <c r="H65" s="20" cm="1">
        <f t="array" ref="H65">PRODUCT(G65:G100+1)^(1/3)-1</f>
        <v>5.630569155570031E-2</v>
      </c>
      <c r="I65" s="21">
        <f t="shared" si="1"/>
        <v>716.07121488251187</v>
      </c>
      <c r="J65" s="26">
        <v>74.55</v>
      </c>
    </row>
    <row r="66" spans="1:10" x14ac:dyDescent="0.3">
      <c r="A66" s="24">
        <v>44104</v>
      </c>
      <c r="B66" s="25">
        <v>21051.455528640003</v>
      </c>
      <c r="C66" s="25">
        <v>20.93</v>
      </c>
      <c r="D66" s="25">
        <v>11.541</v>
      </c>
      <c r="E66" s="25">
        <v>2.1150000000000002</v>
      </c>
      <c r="F66" s="19">
        <f t="shared" ref="F66:F129" si="3">B66/C66</f>
        <v>1005.8029397343528</v>
      </c>
      <c r="G66" s="20">
        <f t="shared" ref="G66:G129" si="4">F66/F67-1</f>
        <v>-2.8147584001068648E-2</v>
      </c>
      <c r="H66" s="20" cm="1">
        <f t="array" ref="H66">PRODUCT(G66:G101+1)^(1/3)-1</f>
        <v>9.7715226798676502E-2</v>
      </c>
      <c r="I66" s="21">
        <f t="shared" ref="I66:I123" si="5">AVERAGE(F66:F185)</f>
        <v>711.68173954409815</v>
      </c>
      <c r="J66" s="26">
        <v>73.56</v>
      </c>
    </row>
    <row r="67" spans="1:10" x14ac:dyDescent="0.3">
      <c r="A67" s="24">
        <v>44074</v>
      </c>
      <c r="B67" s="25">
        <v>21661.164989749999</v>
      </c>
      <c r="C67" s="25">
        <v>20.93</v>
      </c>
      <c r="D67" s="25">
        <v>11.541</v>
      </c>
      <c r="E67" s="25">
        <v>2.1150000000000002</v>
      </c>
      <c r="F67" s="19">
        <f t="shared" si="3"/>
        <v>1034.9338265527949</v>
      </c>
      <c r="G67" s="20">
        <f t="shared" si="4"/>
        <v>3.7550376222011295E-2</v>
      </c>
      <c r="H67" s="20" cm="1">
        <f t="array" ref="H67">PRODUCT(G67:G102+1)^(1/3)-1</f>
        <v>0.12373943163756729</v>
      </c>
      <c r="I67" s="21">
        <f t="shared" si="5"/>
        <v>706.26249063557941</v>
      </c>
      <c r="J67" s="26">
        <v>73.25</v>
      </c>
    </row>
    <row r="68" spans="1:10" x14ac:dyDescent="0.3">
      <c r="A68" s="24">
        <v>44043</v>
      </c>
      <c r="B68" s="25">
        <v>20877.217613880002</v>
      </c>
      <c r="C68" s="25">
        <v>20.93</v>
      </c>
      <c r="D68" s="25">
        <v>11.541</v>
      </c>
      <c r="E68" s="25">
        <v>2.1150000000000002</v>
      </c>
      <c r="F68" s="19">
        <f t="shared" si="3"/>
        <v>997.4781468647875</v>
      </c>
      <c r="G68" s="20">
        <f t="shared" si="4"/>
        <v>-6.0959210581502665E-3</v>
      </c>
      <c r="H68" s="20" cm="1">
        <f t="array" ref="H68">PRODUCT(G68:G103+1)^(1/3)-1</f>
        <v>0.12149399964298135</v>
      </c>
      <c r="I68" s="21">
        <f t="shared" si="5"/>
        <v>700.62844356749918</v>
      </c>
      <c r="J68" s="26">
        <v>74.92</v>
      </c>
    </row>
    <row r="69" spans="1:10" x14ac:dyDescent="0.3">
      <c r="A69" s="24">
        <v>44012</v>
      </c>
      <c r="B69" s="25">
        <v>19992.635692619999</v>
      </c>
      <c r="C69" s="25">
        <v>19.920999999999999</v>
      </c>
      <c r="D69" s="25">
        <v>11.766999999999999</v>
      </c>
      <c r="E69" s="25">
        <v>2.214</v>
      </c>
      <c r="F69" s="19">
        <f t="shared" si="3"/>
        <v>1003.5959887867075</v>
      </c>
      <c r="G69" s="20">
        <f t="shared" si="4"/>
        <v>-4.1826488627891623E-2</v>
      </c>
      <c r="H69" s="20" cm="1">
        <f t="array" ref="H69">PRODUCT(G69:G104+1)^(1/3)-1</f>
        <v>0.12775900367162563</v>
      </c>
      <c r="I69" s="21">
        <f t="shared" si="5"/>
        <v>695.09641499043573</v>
      </c>
      <c r="J69" s="26">
        <v>75.540000000000006</v>
      </c>
    </row>
    <row r="70" spans="1:10" x14ac:dyDescent="0.3">
      <c r="A70" s="24">
        <v>43982</v>
      </c>
      <c r="B70" s="25">
        <v>19386.42420813</v>
      </c>
      <c r="C70" s="25">
        <v>18.509</v>
      </c>
      <c r="D70" s="25">
        <v>12.048</v>
      </c>
      <c r="E70" s="25">
        <v>2.319</v>
      </c>
      <c r="F70" s="19">
        <f t="shared" si="3"/>
        <v>1047.4052735496246</v>
      </c>
      <c r="G70" s="20">
        <f t="shared" si="4"/>
        <v>-4.154301620328904E-2</v>
      </c>
      <c r="H70" s="20" cm="1">
        <f t="array" ref="H70">PRODUCT(G70:G105+1)^(1/3)-1</f>
        <v>0.15154591781571347</v>
      </c>
      <c r="I70" s="21">
        <f t="shared" si="5"/>
        <v>689.44085673692564</v>
      </c>
      <c r="J70" s="26">
        <v>75.59</v>
      </c>
    </row>
    <row r="71" spans="1:10" x14ac:dyDescent="0.3">
      <c r="A71" s="24">
        <v>43951</v>
      </c>
      <c r="B71" s="25">
        <v>18453.08213948</v>
      </c>
      <c r="C71" s="25">
        <v>16.885999999999999</v>
      </c>
      <c r="D71" s="25">
        <v>12.555</v>
      </c>
      <c r="E71" s="25">
        <v>2.423</v>
      </c>
      <c r="F71" s="19">
        <f t="shared" si="3"/>
        <v>1092.8036325642545</v>
      </c>
      <c r="G71" s="20">
        <f t="shared" si="4"/>
        <v>-3.5877100428354236E-3</v>
      </c>
      <c r="H71" s="20" cm="1">
        <f t="array" ref="H71">PRODUCT(G71:G106+1)^(1/3)-1</f>
        <v>0.18836821635255974</v>
      </c>
      <c r="I71" s="21">
        <f t="shared" si="5"/>
        <v>683.27788802031148</v>
      </c>
      <c r="J71" s="26">
        <v>75.08</v>
      </c>
    </row>
    <row r="72" spans="1:10" x14ac:dyDescent="0.3">
      <c r="A72" s="24">
        <v>43921</v>
      </c>
      <c r="B72" s="25">
        <v>16723.06730586</v>
      </c>
      <c r="C72" s="25">
        <v>15.247999999999999</v>
      </c>
      <c r="D72" s="25">
        <v>12.654999999999999</v>
      </c>
      <c r="E72" s="25">
        <v>2.9940000000000002</v>
      </c>
      <c r="F72" s="19">
        <f t="shared" si="3"/>
        <v>1096.738411979276</v>
      </c>
      <c r="G72" s="20">
        <f t="shared" si="4"/>
        <v>0.12864322366458736</v>
      </c>
      <c r="H72" s="20" cm="1">
        <f t="array" ref="H72">PRODUCT(G72:G107+1)^(1/3)-1</f>
        <v>0.18692449486731388</v>
      </c>
      <c r="I72" s="21">
        <f t="shared" si="5"/>
        <v>676.45319437422165</v>
      </c>
      <c r="J72" s="26">
        <v>75.33</v>
      </c>
    </row>
    <row r="73" spans="1:10" x14ac:dyDescent="0.3">
      <c r="A73" s="24">
        <v>43890</v>
      </c>
      <c r="B73" s="25">
        <v>18614.49267525</v>
      </c>
      <c r="C73" s="25">
        <v>19.155999999999999</v>
      </c>
      <c r="D73" s="25">
        <v>12.574999999999999</v>
      </c>
      <c r="E73" s="25">
        <v>2.387</v>
      </c>
      <c r="F73" s="19">
        <f t="shared" si="3"/>
        <v>971.73171200929221</v>
      </c>
      <c r="G73" s="20">
        <f t="shared" si="4"/>
        <v>-6.8049097930333868E-2</v>
      </c>
      <c r="H73" s="20" cm="1">
        <f t="array" ref="H73">PRODUCT(G73:G108+1)^(1/3)-1</f>
        <v>0.14142411200605265</v>
      </c>
      <c r="I73" s="21">
        <f t="shared" si="5"/>
        <v>669.53349768099622</v>
      </c>
      <c r="J73" s="26">
        <v>72.53</v>
      </c>
    </row>
    <row r="74" spans="1:10" x14ac:dyDescent="0.3">
      <c r="A74" s="24">
        <v>43861</v>
      </c>
      <c r="B74" s="25">
        <v>19973.683843120001</v>
      </c>
      <c r="C74" s="25">
        <v>19.155999999999999</v>
      </c>
      <c r="D74" s="25">
        <v>12.574999999999999</v>
      </c>
      <c r="E74" s="25">
        <v>2.387</v>
      </c>
      <c r="F74" s="19">
        <f t="shared" si="3"/>
        <v>1042.6855211484653</v>
      </c>
      <c r="G74" s="20">
        <f t="shared" si="4"/>
        <v>-6.7423158817060624E-2</v>
      </c>
      <c r="H74" s="20" cm="1">
        <f t="array" ref="H74">PRODUCT(G74:G109+1)^(1/3)-1</f>
        <v>0.16749156164314249</v>
      </c>
      <c r="I74" s="21">
        <f t="shared" si="5"/>
        <v>663.16124305494509</v>
      </c>
      <c r="J74" s="26">
        <v>71.540000000000006</v>
      </c>
    </row>
    <row r="75" spans="1:10" x14ac:dyDescent="0.3">
      <c r="A75" s="24">
        <v>43830</v>
      </c>
      <c r="B75" s="25">
        <v>20143.136221550001</v>
      </c>
      <c r="C75" s="25">
        <v>18.015999999999998</v>
      </c>
      <c r="D75" s="25">
        <v>12.911</v>
      </c>
      <c r="E75" s="25">
        <v>2.4809999999999999</v>
      </c>
      <c r="F75" s="19">
        <f t="shared" si="3"/>
        <v>1118.0692840558395</v>
      </c>
      <c r="G75" s="20">
        <f t="shared" si="4"/>
        <v>2.9443983006385066E-2</v>
      </c>
      <c r="H75" s="20" cm="1">
        <f t="array" ref="H75">PRODUCT(G75:G110+1)^(1/3)-1</f>
        <v>0.19852093816651317</v>
      </c>
      <c r="I75" s="21">
        <f t="shared" si="5"/>
        <v>656.17674688693705</v>
      </c>
      <c r="J75" s="26">
        <v>71.349999999999994</v>
      </c>
    </row>
    <row r="76" spans="1:10" x14ac:dyDescent="0.3">
      <c r="A76" s="24">
        <v>43799</v>
      </c>
      <c r="B76" s="25">
        <v>19567.005639999999</v>
      </c>
      <c r="C76" s="25">
        <v>18.015999999999998</v>
      </c>
      <c r="D76" s="25">
        <v>12.911</v>
      </c>
      <c r="E76" s="25">
        <v>2.4809999999999999</v>
      </c>
      <c r="F76" s="19">
        <f t="shared" si="3"/>
        <v>1086.090455150977</v>
      </c>
      <c r="G76" s="20">
        <f t="shared" si="4"/>
        <v>3.5524406000407849E-2</v>
      </c>
      <c r="H76" s="20" cm="1">
        <f t="array" ref="H76">PRODUCT(G76:G111+1)^(1/3)-1</f>
        <v>0.18697924578830616</v>
      </c>
      <c r="I76" s="21">
        <f t="shared" si="5"/>
        <v>648.59310715474749</v>
      </c>
      <c r="J76" s="26">
        <v>71.75</v>
      </c>
    </row>
    <row r="77" spans="1:10" x14ac:dyDescent="0.3">
      <c r="A77" s="24">
        <v>43769</v>
      </c>
      <c r="B77" s="25">
        <v>18895.745504999999</v>
      </c>
      <c r="C77" s="25">
        <v>18.015999999999998</v>
      </c>
      <c r="D77" s="25">
        <v>12.911</v>
      </c>
      <c r="E77" s="25">
        <v>2.4809999999999999</v>
      </c>
      <c r="F77" s="19">
        <f t="shared" si="3"/>
        <v>1048.8313446380996</v>
      </c>
      <c r="G77" s="20">
        <f t="shared" si="4"/>
        <v>1.2315948003467581E-2</v>
      </c>
      <c r="H77" s="20" cm="1">
        <f t="array" ref="H77">PRODUCT(G77:G112+1)^(1/3)-1</f>
        <v>0.18733722073008097</v>
      </c>
      <c r="I77" s="21">
        <f t="shared" si="5"/>
        <v>641.33579054698555</v>
      </c>
      <c r="J77" s="26">
        <v>70.98</v>
      </c>
    </row>
    <row r="78" spans="1:10" x14ac:dyDescent="0.3">
      <c r="A78" s="24">
        <v>43738</v>
      </c>
      <c r="B78" s="25">
        <v>18304.2689412</v>
      </c>
      <c r="C78" s="25">
        <v>17.667000000000002</v>
      </c>
      <c r="D78" s="25">
        <v>13.073</v>
      </c>
      <c r="E78" s="25">
        <v>2.492</v>
      </c>
      <c r="F78" s="19">
        <f t="shared" si="3"/>
        <v>1036.0711462727118</v>
      </c>
      <c r="G78" s="20">
        <f t="shared" si="4"/>
        <v>9.4664133920732141E-3</v>
      </c>
      <c r="H78" s="20" cm="1">
        <f t="array" ref="H78">PRODUCT(G78:G113+1)^(1/3)-1</f>
        <v>0.17552588176805628</v>
      </c>
      <c r="I78" s="21">
        <f t="shared" si="5"/>
        <v>634.47900013963226</v>
      </c>
      <c r="J78" s="26">
        <v>70.64</v>
      </c>
    </row>
    <row r="79" spans="1:10" x14ac:dyDescent="0.3">
      <c r="A79" s="24">
        <v>43708</v>
      </c>
      <c r="B79" s="25">
        <v>18132.618082550001</v>
      </c>
      <c r="C79" s="25">
        <v>17.667000000000002</v>
      </c>
      <c r="D79" s="25">
        <v>13.073</v>
      </c>
      <c r="E79" s="25">
        <v>2.492</v>
      </c>
      <c r="F79" s="19">
        <f t="shared" si="3"/>
        <v>1026.3552432529575</v>
      </c>
      <c r="G79" s="20">
        <f t="shared" si="4"/>
        <v>1.2997991728094238E-2</v>
      </c>
      <c r="H79" s="20" cm="1">
        <f t="array" ref="H79">PRODUCT(G79:G114+1)^(1/3)-1</f>
        <v>0.16911216338697832</v>
      </c>
      <c r="I79" s="21">
        <f t="shared" si="5"/>
        <v>627.75462954172997</v>
      </c>
      <c r="J79" s="26">
        <v>71.45</v>
      </c>
    </row>
    <row r="80" spans="1:10" x14ac:dyDescent="0.3">
      <c r="A80" s="24">
        <v>43677</v>
      </c>
      <c r="B80" s="25">
        <v>17899.954620460001</v>
      </c>
      <c r="C80" s="25">
        <v>17.667000000000002</v>
      </c>
      <c r="D80" s="25">
        <v>13.073</v>
      </c>
      <c r="E80" s="25">
        <v>2.492</v>
      </c>
      <c r="F80" s="19">
        <f t="shared" si="3"/>
        <v>1013.1858618022301</v>
      </c>
      <c r="G80" s="20">
        <f t="shared" si="4"/>
        <v>-5.2648107079038553E-3</v>
      </c>
      <c r="H80" s="20" cm="1">
        <f t="array" ref="H80">PRODUCT(G80:G115+1)^(1/3)-1</f>
        <v>0.16127465527129137</v>
      </c>
      <c r="I80" s="21">
        <f t="shared" si="5"/>
        <v>621.39326912213335</v>
      </c>
      <c r="J80" s="26">
        <v>68.86</v>
      </c>
    </row>
    <row r="81" spans="1:10" x14ac:dyDescent="0.3">
      <c r="A81" s="24">
        <v>43646</v>
      </c>
      <c r="B81" s="25">
        <v>17868.393281880002</v>
      </c>
      <c r="C81" s="25">
        <v>17.542999999999999</v>
      </c>
      <c r="D81" s="25">
        <v>13.077</v>
      </c>
      <c r="E81" s="25">
        <v>2.4900000000000002</v>
      </c>
      <c r="F81" s="19">
        <f t="shared" si="3"/>
        <v>1018.5483259351309</v>
      </c>
      <c r="G81" s="20">
        <f t="shared" si="4"/>
        <v>7.983698571485176E-3</v>
      </c>
      <c r="H81" s="20" cm="1">
        <f t="array" ref="H81">PRODUCT(G81:G116+1)^(1/3)-1</f>
        <v>0.15870220829932524</v>
      </c>
      <c r="I81" s="21">
        <f t="shared" si="5"/>
        <v>615.24539162317751</v>
      </c>
      <c r="J81" s="26">
        <v>68.94</v>
      </c>
    </row>
    <row r="82" spans="1:10" x14ac:dyDescent="0.3">
      <c r="A82" s="24">
        <v>43616</v>
      </c>
      <c r="B82" s="25">
        <v>16923.534960869998</v>
      </c>
      <c r="C82" s="25">
        <v>16.748000000000001</v>
      </c>
      <c r="D82" s="25">
        <v>13.061999999999999</v>
      </c>
      <c r="E82" s="25">
        <v>2.6160000000000001</v>
      </c>
      <c r="F82" s="19">
        <f t="shared" si="3"/>
        <v>1010.4809506132074</v>
      </c>
      <c r="G82" s="20">
        <f t="shared" si="4"/>
        <v>-4.1299287669203211E-2</v>
      </c>
      <c r="H82" s="20" cm="1">
        <f t="array" ref="H82">PRODUCT(G82:G117+1)^(1/3)-1</f>
        <v>0.15006274277610765</v>
      </c>
      <c r="I82" s="21">
        <f t="shared" si="5"/>
        <v>609.10053969542378</v>
      </c>
      <c r="J82" s="26">
        <v>69.569999999999993</v>
      </c>
    </row>
    <row r="83" spans="1:10" x14ac:dyDescent="0.3">
      <c r="A83" s="24">
        <v>43585</v>
      </c>
      <c r="B83" s="25">
        <v>18008.829345919999</v>
      </c>
      <c r="C83" s="25">
        <v>17.085999999999999</v>
      </c>
      <c r="D83" s="25">
        <v>13.282</v>
      </c>
      <c r="E83" s="25">
        <v>2.5369999999999999</v>
      </c>
      <c r="F83" s="19">
        <f t="shared" si="3"/>
        <v>1054.0108478239495</v>
      </c>
      <c r="G83" s="20">
        <f t="shared" si="4"/>
        <v>4.0639466812110614E-2</v>
      </c>
      <c r="H83" s="20" cm="1">
        <f t="array" ref="H83">PRODUCT(G83:G118+1)^(1/3)-1</f>
        <v>0.17138621663908404</v>
      </c>
      <c r="I83" s="21">
        <f t="shared" si="5"/>
        <v>603.23261533167931</v>
      </c>
      <c r="J83" s="26">
        <v>69.64</v>
      </c>
    </row>
    <row r="84" spans="1:10" x14ac:dyDescent="0.3">
      <c r="A84" s="24">
        <v>43555</v>
      </c>
      <c r="B84" s="25">
        <v>17305.541371680003</v>
      </c>
      <c r="C84" s="25">
        <v>17.085999999999999</v>
      </c>
      <c r="D84" s="25">
        <v>13.282</v>
      </c>
      <c r="E84" s="25">
        <v>2.5369999999999999</v>
      </c>
      <c r="F84" s="19">
        <f t="shared" si="3"/>
        <v>1012.8491965164465</v>
      </c>
      <c r="G84" s="20">
        <f t="shared" si="4"/>
        <v>-2.3167589258473176E-2</v>
      </c>
      <c r="H84" s="20" cm="1">
        <f t="array" ref="H84">PRODUCT(G84:G119+1)^(1/3)-1</f>
        <v>0.15323637702150594</v>
      </c>
      <c r="I84" s="21">
        <f t="shared" si="5"/>
        <v>597.20024044628701</v>
      </c>
      <c r="J84" s="26">
        <v>69.180000000000007</v>
      </c>
    </row>
    <row r="85" spans="1:10" x14ac:dyDescent="0.3">
      <c r="A85" s="24">
        <v>43524</v>
      </c>
      <c r="B85" s="25">
        <v>17498.234960730002</v>
      </c>
      <c r="C85" s="25">
        <v>16.876000000000001</v>
      </c>
      <c r="D85" s="25">
        <v>13.266999999999999</v>
      </c>
      <c r="E85" s="25">
        <v>2.5619999999999998</v>
      </c>
      <c r="F85" s="19">
        <f t="shared" si="3"/>
        <v>1036.8709979100497</v>
      </c>
      <c r="G85" s="20">
        <f t="shared" si="4"/>
        <v>-8.029723762016383E-4</v>
      </c>
      <c r="H85" s="20" cm="1">
        <f t="array" ref="H85">PRODUCT(G85:G120+1)^(1/3)-1</f>
        <v>0.14508513386972477</v>
      </c>
      <c r="I85" s="21">
        <f t="shared" si="5"/>
        <v>591.61224035769476</v>
      </c>
      <c r="J85" s="26">
        <v>70.83</v>
      </c>
    </row>
    <row r="86" spans="1:10" x14ac:dyDescent="0.3">
      <c r="A86" s="24">
        <v>43496</v>
      </c>
      <c r="B86" s="25">
        <v>17071.2725469</v>
      </c>
      <c r="C86" s="25">
        <v>16.451000000000001</v>
      </c>
      <c r="D86" s="25">
        <v>13.295</v>
      </c>
      <c r="E86" s="25">
        <v>2.6110000000000002</v>
      </c>
      <c r="F86" s="19">
        <f t="shared" si="3"/>
        <v>1037.7042457540574</v>
      </c>
      <c r="G86" s="20">
        <f t="shared" si="4"/>
        <v>3.4292269449344381E-2</v>
      </c>
      <c r="H86" s="20" cm="1">
        <f t="array" ref="H86">PRODUCT(G86:G121+1)^(1/3)-1</f>
        <v>0.15113571852267271</v>
      </c>
      <c r="I86" s="21">
        <f t="shared" si="5"/>
        <v>586.35256376845598</v>
      </c>
      <c r="J86" s="26">
        <v>70.95</v>
      </c>
    </row>
    <row r="87" spans="1:10" x14ac:dyDescent="0.3">
      <c r="A87" s="24">
        <v>43465</v>
      </c>
      <c r="B87" s="25">
        <v>15512.00353856</v>
      </c>
      <c r="C87" s="25">
        <v>15.461</v>
      </c>
      <c r="D87" s="25">
        <v>13.269</v>
      </c>
      <c r="E87" s="25">
        <v>2.7770000000000001</v>
      </c>
      <c r="F87" s="19">
        <f t="shared" si="3"/>
        <v>1003.2988512101416</v>
      </c>
      <c r="G87" s="20">
        <f t="shared" si="4"/>
        <v>7.1686533791757157E-3</v>
      </c>
      <c r="H87" s="20" cm="1">
        <f t="array" ref="H87">PRODUCT(G87:G122+1)^(1/3)-1</f>
        <v>0.13897351837770366</v>
      </c>
      <c r="I87" s="21">
        <f t="shared" si="5"/>
        <v>581.17748940758406</v>
      </c>
      <c r="J87" s="26">
        <v>69.56</v>
      </c>
    </row>
    <row r="88" spans="1:10" x14ac:dyDescent="0.3">
      <c r="A88" s="24">
        <v>43434</v>
      </c>
      <c r="B88" s="25">
        <v>16706.5614852</v>
      </c>
      <c r="C88" s="25">
        <v>16.771000000000001</v>
      </c>
      <c r="D88" s="25">
        <v>13.156000000000001</v>
      </c>
      <c r="E88" s="25">
        <v>2.5680000000000001</v>
      </c>
      <c r="F88" s="19">
        <f t="shared" si="3"/>
        <v>996.15774164927552</v>
      </c>
      <c r="G88" s="20">
        <f t="shared" si="4"/>
        <v>-2.7759616641772511E-2</v>
      </c>
      <c r="H88" s="20" cm="1">
        <f t="array" ref="H88">PRODUCT(G88:G123+1)^(1/3)-1</f>
        <v>0.13907324982315128</v>
      </c>
      <c r="I88" s="21">
        <f t="shared" si="5"/>
        <v>576.23808567743254</v>
      </c>
      <c r="J88" s="26">
        <v>69.64</v>
      </c>
    </row>
    <row r="89" spans="1:10" x14ac:dyDescent="0.3">
      <c r="A89" s="24">
        <v>43404</v>
      </c>
      <c r="B89" s="25">
        <v>17484.803297850001</v>
      </c>
      <c r="C89" s="25">
        <v>17.065000000000001</v>
      </c>
      <c r="D89" s="25">
        <v>12.836</v>
      </c>
      <c r="E89" s="25">
        <v>2.5840000000000001</v>
      </c>
      <c r="F89" s="19">
        <f t="shared" si="3"/>
        <v>1024.6002518517435</v>
      </c>
      <c r="G89" s="20">
        <f t="shared" si="4"/>
        <v>1.925737975395192E-2</v>
      </c>
      <c r="H89" s="20" cm="1">
        <f t="array" ref="H89">PRODUCT(G89:G124+1)^(1/3)-1</f>
        <v>0.14660340838717523</v>
      </c>
      <c r="I89" s="21">
        <f t="shared" si="5"/>
        <v>571.41863184282749</v>
      </c>
      <c r="J89" s="26">
        <v>73.95</v>
      </c>
    </row>
    <row r="90" spans="1:10" x14ac:dyDescent="0.3">
      <c r="A90" s="24">
        <v>43373</v>
      </c>
      <c r="B90" s="25">
        <v>18530.629669999998</v>
      </c>
      <c r="C90" s="25">
        <v>18.434000000000001</v>
      </c>
      <c r="D90" s="25">
        <v>12.786</v>
      </c>
      <c r="E90" s="25">
        <v>2.39</v>
      </c>
      <c r="F90" s="19">
        <f t="shared" si="3"/>
        <v>1005.2419263317781</v>
      </c>
      <c r="G90" s="20">
        <f t="shared" si="4"/>
        <v>3.5473898613482158E-2</v>
      </c>
      <c r="H90" s="20" cm="1">
        <f t="array" ref="H90">PRODUCT(G90:G125+1)^(1/3)-1</f>
        <v>0.1412003220979634</v>
      </c>
      <c r="I90" s="21">
        <f t="shared" si="5"/>
        <v>566.41264890038303</v>
      </c>
      <c r="J90" s="26">
        <v>72.5</v>
      </c>
    </row>
    <row r="91" spans="1:10" x14ac:dyDescent="0.3">
      <c r="A91" s="24">
        <v>43343</v>
      </c>
      <c r="B91" s="25">
        <v>18068.599081</v>
      </c>
      <c r="C91" s="25">
        <v>18.611999999999998</v>
      </c>
      <c r="D91" s="25">
        <v>12.619</v>
      </c>
      <c r="E91" s="25">
        <v>2.379</v>
      </c>
      <c r="F91" s="19">
        <f t="shared" si="3"/>
        <v>970.80373312916413</v>
      </c>
      <c r="G91" s="20">
        <f t="shared" si="4"/>
        <v>6.6016261267367815E-2</v>
      </c>
      <c r="H91" s="20" cm="1">
        <f t="array" ref="H91">PRODUCT(G91:G126+1)^(1/3)-1</f>
        <v>0.12137566197684202</v>
      </c>
      <c r="I91" s="21">
        <f t="shared" si="5"/>
        <v>561.54262263067073</v>
      </c>
      <c r="J91" s="26">
        <v>71</v>
      </c>
    </row>
    <row r="92" spans="1:10" x14ac:dyDescent="0.3">
      <c r="A92" s="24">
        <v>43312</v>
      </c>
      <c r="B92" s="25">
        <v>17283.867723700001</v>
      </c>
      <c r="C92" s="25">
        <v>18.978999999999999</v>
      </c>
      <c r="D92" s="25">
        <v>12.292999999999999</v>
      </c>
      <c r="E92" s="25">
        <v>2.3839999999999999</v>
      </c>
      <c r="F92" s="19">
        <f t="shared" si="3"/>
        <v>910.68379386163667</v>
      </c>
      <c r="G92" s="20">
        <f t="shared" si="4"/>
        <v>3.8315373087589588E-3</v>
      </c>
      <c r="H92" s="20" cm="1">
        <f t="array" ref="H92">PRODUCT(G92:G127+1)^(1/3)-1</f>
        <v>0.11069445311126036</v>
      </c>
      <c r="I92" s="21">
        <f t="shared" si="5"/>
        <v>556.93438836016355</v>
      </c>
      <c r="J92" s="26">
        <v>68.45</v>
      </c>
    </row>
    <row r="93" spans="1:10" x14ac:dyDescent="0.3">
      <c r="A93" s="24">
        <v>43281</v>
      </c>
      <c r="B93" s="25">
        <v>16777.900930300002</v>
      </c>
      <c r="C93" s="25">
        <v>18.494</v>
      </c>
      <c r="D93" s="25">
        <v>12.273</v>
      </c>
      <c r="E93" s="25">
        <v>2.4279999999999999</v>
      </c>
      <c r="F93" s="19">
        <f t="shared" si="3"/>
        <v>907.20779335460156</v>
      </c>
      <c r="G93" s="20">
        <f t="shared" si="4"/>
        <v>1.1744853101401942E-2</v>
      </c>
      <c r="H93" s="20" cm="1">
        <f t="array" ref="H93">PRODUCT(G93:G128+1)^(1/3)-1</f>
        <v>0.10906822310429365</v>
      </c>
      <c r="I93" s="21">
        <f t="shared" si="5"/>
        <v>552.79902028977153</v>
      </c>
      <c r="J93" s="26">
        <v>68.45</v>
      </c>
    </row>
    <row r="94" spans="1:10" x14ac:dyDescent="0.3">
      <c r="A94" s="24">
        <v>43251</v>
      </c>
      <c r="B94" s="25">
        <v>16615.414804760003</v>
      </c>
      <c r="C94" s="25">
        <v>18.53</v>
      </c>
      <c r="D94" s="25">
        <v>12.241</v>
      </c>
      <c r="E94" s="25">
        <v>2.41</v>
      </c>
      <c r="F94" s="19">
        <f t="shared" si="3"/>
        <v>896.67646005180802</v>
      </c>
      <c r="G94" s="20">
        <f t="shared" si="4"/>
        <v>3.6641945091528738E-2</v>
      </c>
      <c r="H94" s="20" cm="1">
        <f t="array" ref="H94">PRODUCT(G94:G129+1)^(1/3)-1</f>
        <v>0.10594059782582832</v>
      </c>
      <c r="I94" s="21">
        <f t="shared" si="5"/>
        <v>548.73149631640808</v>
      </c>
      <c r="J94" s="26">
        <v>67.42</v>
      </c>
    </row>
    <row r="95" spans="1:10" x14ac:dyDescent="0.3">
      <c r="A95" s="24">
        <v>43220</v>
      </c>
      <c r="B95" s="25">
        <v>16355.94166665</v>
      </c>
      <c r="C95" s="25">
        <v>18.908999999999999</v>
      </c>
      <c r="D95" s="25">
        <v>11.968</v>
      </c>
      <c r="E95" s="25">
        <v>2.4009999999999998</v>
      </c>
      <c r="F95" s="19">
        <f t="shared" si="3"/>
        <v>864.98184286054266</v>
      </c>
      <c r="G95" s="20">
        <f t="shared" si="4"/>
        <v>0.16126298064834654</v>
      </c>
      <c r="H95" s="20" cm="1">
        <f t="array" ref="H95">PRODUCT(G95:G130+1)^(1/3)-1</f>
        <v>8.6881014507774523E-2</v>
      </c>
      <c r="I95" s="21">
        <f t="shared" si="5"/>
        <v>544.74788758762759</v>
      </c>
      <c r="J95" s="26">
        <v>66.45</v>
      </c>
    </row>
    <row r="96" spans="1:10" x14ac:dyDescent="0.3">
      <c r="A96" s="24">
        <v>43190</v>
      </c>
      <c r="B96" s="25">
        <v>15874.5205369</v>
      </c>
      <c r="C96" s="25">
        <v>21.312000000000001</v>
      </c>
      <c r="D96" s="25">
        <v>11.368</v>
      </c>
      <c r="E96" s="25">
        <v>2.2149999999999999</v>
      </c>
      <c r="F96" s="19">
        <f t="shared" si="3"/>
        <v>744.86301318036783</v>
      </c>
      <c r="G96" s="20">
        <f t="shared" si="4"/>
        <v>-2.2757562329740799E-2</v>
      </c>
      <c r="H96" s="20" cm="1">
        <f t="array" ref="H96">PRODUCT(G96:G131+1)^(1/3)-1</f>
        <v>4.6717421350147781E-2</v>
      </c>
      <c r="I96" s="21">
        <f t="shared" si="5"/>
        <v>540.87962502507946</v>
      </c>
      <c r="J96" s="26">
        <v>65.11</v>
      </c>
    </row>
    <row r="97" spans="1:10" x14ac:dyDescent="0.3">
      <c r="A97" s="24">
        <v>43159</v>
      </c>
      <c r="B97" s="25">
        <v>16244.198906000001</v>
      </c>
      <c r="C97" s="25">
        <v>21.312000000000001</v>
      </c>
      <c r="D97" s="25">
        <v>11.368</v>
      </c>
      <c r="E97" s="25">
        <v>2.2149999999999999</v>
      </c>
      <c r="F97" s="19">
        <f t="shared" si="3"/>
        <v>762.20903275150158</v>
      </c>
      <c r="G97" s="20">
        <f t="shared" si="4"/>
        <v>-1.6970210949948217E-2</v>
      </c>
      <c r="H97" s="20" cm="1">
        <f t="array" ref="H97">PRODUCT(G97:G132+1)^(1/3)-1</f>
        <v>4.5893677397286448E-2</v>
      </c>
      <c r="I97" s="21">
        <f t="shared" si="5"/>
        <v>537.9916371272617</v>
      </c>
      <c r="J97" s="26">
        <v>65.2</v>
      </c>
    </row>
    <row r="98" spans="1:10" x14ac:dyDescent="0.3">
      <c r="A98" s="24">
        <v>43131</v>
      </c>
      <c r="B98" s="25">
        <v>16524.625282920002</v>
      </c>
      <c r="C98" s="25">
        <v>21.312000000000001</v>
      </c>
      <c r="D98" s="25">
        <v>11.368</v>
      </c>
      <c r="E98" s="25">
        <v>2.2149999999999999</v>
      </c>
      <c r="F98" s="19">
        <f t="shared" si="3"/>
        <v>775.36717731418923</v>
      </c>
      <c r="G98" s="20">
        <f t="shared" si="4"/>
        <v>1.4214302469547135E-2</v>
      </c>
      <c r="H98" s="20" cm="1">
        <f t="array" ref="H98">PRODUCT(G98:G133+1)^(1/3)-1</f>
        <v>5.1875928226005952E-2</v>
      </c>
      <c r="I98" s="21">
        <f t="shared" si="5"/>
        <v>535.00138546735957</v>
      </c>
      <c r="J98" s="26">
        <v>63.54</v>
      </c>
    </row>
    <row r="99" spans="1:10" x14ac:dyDescent="0.3">
      <c r="A99" s="24">
        <v>43100</v>
      </c>
      <c r="B99" s="25">
        <v>15713.53995276</v>
      </c>
      <c r="C99" s="25">
        <v>20.553999999999998</v>
      </c>
      <c r="D99" s="25">
        <v>11.359</v>
      </c>
      <c r="E99" s="25">
        <v>2.2839999999999998</v>
      </c>
      <c r="F99" s="19">
        <f t="shared" si="3"/>
        <v>764.5003382679771</v>
      </c>
      <c r="G99" s="20">
        <f t="shared" si="4"/>
        <v>-3.9091155351180795E-3</v>
      </c>
      <c r="H99" s="20" cm="1">
        <f t="array" ref="H99">PRODUCT(G99:G134+1)^(1/3)-1</f>
        <v>3.7940873781117546E-2</v>
      </c>
      <c r="I99" s="21">
        <f t="shared" si="5"/>
        <v>531.80842310667606</v>
      </c>
      <c r="J99" s="26">
        <v>63.83</v>
      </c>
    </row>
    <row r="100" spans="1:10" x14ac:dyDescent="0.3">
      <c r="A100" s="24">
        <v>43069</v>
      </c>
      <c r="B100" s="25">
        <v>15621.706942400002</v>
      </c>
      <c r="C100" s="25">
        <v>20.353999999999999</v>
      </c>
      <c r="D100" s="25">
        <v>11.364000000000001</v>
      </c>
      <c r="E100" s="25">
        <v>2.3170000000000002</v>
      </c>
      <c r="F100" s="19">
        <f t="shared" si="3"/>
        <v>767.5005867347943</v>
      </c>
      <c r="G100" s="20">
        <f t="shared" si="4"/>
        <v>2.1948376783969659E-2</v>
      </c>
      <c r="H100" s="20" cm="1">
        <f t="array" ref="H100">PRODUCT(G100:G135+1)^(1/3)-1</f>
        <v>4.0331806035897699E-2</v>
      </c>
      <c r="I100" s="21">
        <f t="shared" si="5"/>
        <v>528.68256194945263</v>
      </c>
      <c r="J100" s="26">
        <v>64.48</v>
      </c>
    </row>
    <row r="101" spans="1:10" x14ac:dyDescent="0.3">
      <c r="A101" s="24">
        <v>43039</v>
      </c>
      <c r="B101" s="25">
        <v>15386.835948119999</v>
      </c>
      <c r="C101" s="25">
        <v>20.488</v>
      </c>
      <c r="D101" s="25">
        <v>11.337999999999999</v>
      </c>
      <c r="E101" s="25">
        <v>2.3319999999999999</v>
      </c>
      <c r="F101" s="19">
        <f t="shared" si="3"/>
        <v>751.01698302030456</v>
      </c>
      <c r="G101" s="20">
        <f t="shared" si="4"/>
        <v>-1.2343507793760922E-2</v>
      </c>
      <c r="H101" s="20" cm="1">
        <f t="array" ref="H101">PRODUCT(G101:G136+1)^(1/3)-1</f>
        <v>3.9266157863138362E-2</v>
      </c>
      <c r="I101" s="21">
        <f t="shared" si="5"/>
        <v>525.55712727582136</v>
      </c>
      <c r="J101" s="26">
        <v>64.739999999999995</v>
      </c>
    </row>
    <row r="102" spans="1:10" x14ac:dyDescent="0.3">
      <c r="A102" s="24">
        <v>43008</v>
      </c>
      <c r="B102" s="25">
        <v>15206.539667339999</v>
      </c>
      <c r="C102" s="25">
        <v>19.998000000000001</v>
      </c>
      <c r="D102" s="25">
        <v>11.346</v>
      </c>
      <c r="E102" s="25">
        <v>2.3849999999999998</v>
      </c>
      <c r="F102" s="19">
        <f t="shared" si="3"/>
        <v>760.4030236693668</v>
      </c>
      <c r="G102" s="20">
        <f t="shared" si="4"/>
        <v>4.2624952162885199E-2</v>
      </c>
      <c r="H102" s="20" cm="1">
        <f t="array" ref="H102">PRODUCT(G102:G137+1)^(1/3)-1</f>
        <v>3.9333365154781141E-2</v>
      </c>
      <c r="I102" s="21">
        <f t="shared" si="5"/>
        <v>522.53053740265614</v>
      </c>
      <c r="J102" s="26">
        <v>65.31</v>
      </c>
    </row>
    <row r="103" spans="1:10" x14ac:dyDescent="0.3">
      <c r="A103" s="24">
        <v>42978</v>
      </c>
      <c r="B103" s="25">
        <v>14603.09357775</v>
      </c>
      <c r="C103" s="25">
        <v>20.023</v>
      </c>
      <c r="D103" s="25">
        <v>11.093</v>
      </c>
      <c r="E103" s="25">
        <v>2.42</v>
      </c>
      <c r="F103" s="19">
        <f t="shared" si="3"/>
        <v>729.31596552714382</v>
      </c>
      <c r="G103" s="20">
        <f t="shared" si="4"/>
        <v>3.1343163254445416E-2</v>
      </c>
      <c r="H103" s="20" cm="1">
        <f t="array" ref="H103">PRODUCT(G103:G138+1)^(1/3)-1</f>
        <v>2.8636261388327089E-2</v>
      </c>
      <c r="I103" s="21">
        <f t="shared" si="5"/>
        <v>519.41668511446801</v>
      </c>
      <c r="J103" s="26">
        <v>63.93</v>
      </c>
    </row>
    <row r="104" spans="1:10" x14ac:dyDescent="0.3">
      <c r="A104" s="24">
        <v>42947</v>
      </c>
      <c r="B104" s="25">
        <v>14601.973338</v>
      </c>
      <c r="C104" s="25">
        <v>20.649000000000001</v>
      </c>
      <c r="D104" s="25">
        <v>10.861000000000001</v>
      </c>
      <c r="E104" s="25">
        <v>2.3980000000000001</v>
      </c>
      <c r="F104" s="19">
        <f t="shared" si="3"/>
        <v>707.15159755920376</v>
      </c>
      <c r="G104" s="20">
        <f t="shared" si="4"/>
        <v>1.0654046461056943E-2</v>
      </c>
      <c r="H104" s="20" cm="1">
        <f t="array" ref="H104">PRODUCT(G104:G139+1)^(1/3)-1</f>
        <v>2.1370489665545556E-2</v>
      </c>
      <c r="I104" s="21">
        <f t="shared" si="5"/>
        <v>516.46790817560372</v>
      </c>
      <c r="J104" s="26">
        <v>64.17</v>
      </c>
    </row>
    <row r="105" spans="1:10" x14ac:dyDescent="0.3">
      <c r="A105" s="24">
        <v>42916</v>
      </c>
      <c r="B105" s="25">
        <v>14304.6053307</v>
      </c>
      <c r="C105" s="25">
        <v>20.443999999999999</v>
      </c>
      <c r="D105" s="25">
        <v>10.863</v>
      </c>
      <c r="E105" s="25">
        <v>2.42</v>
      </c>
      <c r="F105" s="19">
        <f t="shared" si="3"/>
        <v>699.6969932840932</v>
      </c>
      <c r="G105" s="20">
        <f t="shared" si="4"/>
        <v>2.0091272241509417E-2</v>
      </c>
      <c r="H105" s="20" cm="1">
        <f t="array" ref="H105">PRODUCT(G105:G140+1)^(1/3)-1</f>
        <v>1.8176691265080924E-2</v>
      </c>
      <c r="I105" s="21">
        <f t="shared" si="5"/>
        <v>513.66078108140982</v>
      </c>
      <c r="J105" s="26">
        <v>64.62</v>
      </c>
    </row>
    <row r="106" spans="1:10" x14ac:dyDescent="0.3">
      <c r="A106" s="24">
        <v>42886</v>
      </c>
      <c r="B106" s="25">
        <v>14215.610485470001</v>
      </c>
      <c r="C106" s="25">
        <v>20.725000000000001</v>
      </c>
      <c r="D106" s="25">
        <v>10.721</v>
      </c>
      <c r="E106" s="25">
        <v>2.4089999999999998</v>
      </c>
      <c r="F106" s="19">
        <f t="shared" si="3"/>
        <v>685.91606685018087</v>
      </c>
      <c r="G106" s="20">
        <f t="shared" si="4"/>
        <v>5.3372386290056362E-2</v>
      </c>
      <c r="H106" s="20" cm="1">
        <f t="array" ref="H106">PRODUCT(G106:G141+1)^(1/3)-1</f>
        <v>1.7346523965741989E-2</v>
      </c>
      <c r="I106" s="21">
        <f t="shared" si="5"/>
        <v>510.91084128688345</v>
      </c>
      <c r="J106" s="26">
        <v>64.510000000000005</v>
      </c>
    </row>
    <row r="107" spans="1:10" x14ac:dyDescent="0.3">
      <c r="A107" s="24">
        <v>42855</v>
      </c>
      <c r="B107" s="25">
        <v>13856.72730038</v>
      </c>
      <c r="C107" s="25">
        <v>21.28</v>
      </c>
      <c r="D107" s="25">
        <v>10.472</v>
      </c>
      <c r="E107" s="25">
        <v>2.4089999999999998</v>
      </c>
      <c r="F107" s="19">
        <f t="shared" si="3"/>
        <v>651.1619971983082</v>
      </c>
      <c r="G107" s="20">
        <f t="shared" si="4"/>
        <v>-7.2148557391380486E-3</v>
      </c>
      <c r="H107" s="20" cm="1">
        <f t="array" ref="H107">PRODUCT(G107:G142+1)^(1/3)-1</f>
        <v>-4.6543063381178085E-3</v>
      </c>
      <c r="I107" s="21">
        <f t="shared" si="5"/>
        <v>508.2049966153071</v>
      </c>
      <c r="J107" s="26">
        <v>64.27</v>
      </c>
    </row>
    <row r="108" spans="1:10" x14ac:dyDescent="0.3">
      <c r="A108" s="24">
        <v>42825</v>
      </c>
      <c r="B108" s="25">
        <v>13767.218818899999</v>
      </c>
      <c r="C108" s="25">
        <v>20.99</v>
      </c>
      <c r="D108" s="25">
        <v>10.516999999999999</v>
      </c>
      <c r="E108" s="25">
        <v>2.4279999999999999</v>
      </c>
      <c r="F108" s="19">
        <f t="shared" si="3"/>
        <v>655.8941790805145</v>
      </c>
      <c r="G108" s="20">
        <f t="shared" si="4"/>
        <v>3.7568645462775496E-3</v>
      </c>
      <c r="H108" s="20" cm="1">
        <f t="array" ref="H108">PRODUCT(G108:G143+1)^(1/3)-1</f>
        <v>6.7400972339592968E-4</v>
      </c>
      <c r="I108" s="21">
        <f t="shared" si="5"/>
        <v>505.83611127652387</v>
      </c>
      <c r="J108" s="26">
        <v>64.849999999999994</v>
      </c>
    </row>
    <row r="109" spans="1:10" x14ac:dyDescent="0.3">
      <c r="A109" s="24">
        <v>42794</v>
      </c>
      <c r="B109" s="25">
        <v>13988.828452100001</v>
      </c>
      <c r="C109" s="25">
        <v>21.408000000000001</v>
      </c>
      <c r="D109" s="25">
        <v>10.252000000000001</v>
      </c>
      <c r="E109" s="25">
        <v>2.44</v>
      </c>
      <c r="F109" s="19">
        <f t="shared" si="3"/>
        <v>653.43929615564275</v>
      </c>
      <c r="G109" s="20">
        <f t="shared" si="4"/>
        <v>-2.7290781942747033E-3</v>
      </c>
      <c r="H109" s="20" cm="1">
        <f t="array" ref="H109">PRODUCT(G109:G144+1)^(1/3)-1</f>
        <v>-3.4935020128785688E-3</v>
      </c>
      <c r="I109" s="21">
        <f t="shared" si="5"/>
        <v>503.52118543169348</v>
      </c>
      <c r="J109" s="26">
        <v>66.7</v>
      </c>
    </row>
    <row r="110" spans="1:10" x14ac:dyDescent="0.3">
      <c r="A110" s="24">
        <v>42766</v>
      </c>
      <c r="B110" s="25">
        <v>13768.29468291</v>
      </c>
      <c r="C110" s="25">
        <v>21.013000000000002</v>
      </c>
      <c r="D110" s="25">
        <v>10.271000000000001</v>
      </c>
      <c r="E110" s="25">
        <v>2.4670000000000001</v>
      </c>
      <c r="F110" s="19">
        <f t="shared" si="3"/>
        <v>655.22746313758148</v>
      </c>
      <c r="G110" s="20">
        <f t="shared" si="4"/>
        <v>8.9281797883697944E-3</v>
      </c>
      <c r="H110" s="20" cm="1">
        <f t="array" ref="H110">PRODUCT(G110:G145+1)^(1/3)-1</f>
        <v>-2.4773935246406031E-3</v>
      </c>
      <c r="I110" s="21">
        <f t="shared" si="5"/>
        <v>501.17192999613309</v>
      </c>
      <c r="J110" s="26">
        <v>67.489999999999995</v>
      </c>
    </row>
    <row r="111" spans="1:10" x14ac:dyDescent="0.3">
      <c r="A111" s="24">
        <v>42735</v>
      </c>
      <c r="B111" s="25">
        <v>13493.191363200001</v>
      </c>
      <c r="C111" s="25">
        <v>20.777000000000001</v>
      </c>
      <c r="D111" s="25">
        <v>10.263999999999999</v>
      </c>
      <c r="E111" s="25">
        <v>2.492</v>
      </c>
      <c r="F111" s="19">
        <f t="shared" si="3"/>
        <v>649.42924210424997</v>
      </c>
      <c r="G111" s="20">
        <f t="shared" si="4"/>
        <v>-1.1008281810220844E-5</v>
      </c>
      <c r="H111" s="20" cm="1">
        <f t="array" ref="H111">PRODUCT(G111:G146+1)^(1/3)-1</f>
        <v>-2.994225936700734E-3</v>
      </c>
      <c r="I111" s="21">
        <f t="shared" si="5"/>
        <v>498.77769425355211</v>
      </c>
      <c r="J111" s="26">
        <v>67.95</v>
      </c>
    </row>
    <row r="112" spans="1:10" x14ac:dyDescent="0.3">
      <c r="A112" s="24">
        <v>42704</v>
      </c>
      <c r="B112" s="25">
        <v>13332.27967665</v>
      </c>
      <c r="C112" s="25">
        <v>20.529</v>
      </c>
      <c r="D112" s="25">
        <v>10.002000000000001</v>
      </c>
      <c r="E112" s="25">
        <v>2.5859999999999999</v>
      </c>
      <c r="F112" s="19">
        <f t="shared" si="3"/>
        <v>649.43639128306302</v>
      </c>
      <c r="G112" s="20">
        <f t="shared" si="4"/>
        <v>3.64615839582898E-2</v>
      </c>
      <c r="H112" s="20" cm="1">
        <f t="array" ref="H112">PRODUCT(G112:G147+1)^(1/3)-1</f>
        <v>-6.5406167511666835E-3</v>
      </c>
      <c r="I112" s="21">
        <f t="shared" si="5"/>
        <v>496.44211949392951</v>
      </c>
      <c r="J112" s="26">
        <v>68.59</v>
      </c>
    </row>
    <row r="113" spans="1:10" x14ac:dyDescent="0.3">
      <c r="A113" s="24">
        <v>42674</v>
      </c>
      <c r="B113" s="25">
        <v>12863.264671840003</v>
      </c>
      <c r="C113" s="25">
        <v>20.529</v>
      </c>
      <c r="D113" s="25">
        <v>10.002000000000001</v>
      </c>
      <c r="E113" s="25">
        <v>2.5859999999999999</v>
      </c>
      <c r="F113" s="19">
        <f t="shared" si="3"/>
        <v>626.58992994495611</v>
      </c>
      <c r="G113" s="20">
        <f t="shared" si="4"/>
        <v>-1.7595329825369821E-2</v>
      </c>
      <c r="H113" s="20" cm="1">
        <f t="array" ref="H113">PRODUCT(G113:G148+1)^(1/3)-1</f>
        <v>-3.2344382746496203E-2</v>
      </c>
      <c r="I113" s="21">
        <f t="shared" si="5"/>
        <v>494.13122807495228</v>
      </c>
      <c r="J113" s="26">
        <v>66.680000000000007</v>
      </c>
    </row>
    <row r="114" spans="1:10" x14ac:dyDescent="0.3">
      <c r="A114" s="24">
        <v>42643</v>
      </c>
      <c r="B114" s="25">
        <v>13059.8477339</v>
      </c>
      <c r="C114" s="25">
        <v>20.475999999999999</v>
      </c>
      <c r="D114" s="25">
        <v>10.089</v>
      </c>
      <c r="E114" s="25">
        <v>2.5649999999999999</v>
      </c>
      <c r="F114" s="19">
        <f t="shared" si="3"/>
        <v>637.81245037605004</v>
      </c>
      <c r="G114" s="20">
        <f t="shared" si="4"/>
        <v>-6.9666729129543858E-3</v>
      </c>
      <c r="H114" s="20" cm="1">
        <f t="array" ref="H114">PRODUCT(G114:G149+1)^(1/3)-1</f>
        <v>-1.8853873443545721E-2</v>
      </c>
      <c r="I114" s="21">
        <f t="shared" si="5"/>
        <v>491.94451150260403</v>
      </c>
      <c r="J114" s="26">
        <v>66.55</v>
      </c>
    </row>
    <row r="115" spans="1:10" x14ac:dyDescent="0.3">
      <c r="A115" s="24">
        <v>42613</v>
      </c>
      <c r="B115" s="25">
        <v>13060.264960079998</v>
      </c>
      <c r="C115" s="25">
        <v>20.334</v>
      </c>
      <c r="D115" s="25">
        <v>10.227</v>
      </c>
      <c r="E115" s="25">
        <v>2.556</v>
      </c>
      <c r="F115" s="19">
        <f t="shared" si="3"/>
        <v>642.28705419887865</v>
      </c>
      <c r="G115" s="20">
        <f t="shared" si="4"/>
        <v>-7.2385819367020154E-3</v>
      </c>
      <c r="H115" s="20" cm="1">
        <f t="array" ref="H115">PRODUCT(G115:G150+1)^(1/3)-1</f>
        <v>-1.6001250795720123E-2</v>
      </c>
      <c r="I115" s="21">
        <f t="shared" si="5"/>
        <v>489.70615339557264</v>
      </c>
      <c r="J115" s="26">
        <v>66.959999999999994</v>
      </c>
    </row>
    <row r="116" spans="1:10" x14ac:dyDescent="0.3">
      <c r="A116" s="24">
        <v>42582</v>
      </c>
      <c r="B116" s="25">
        <v>12952.343424209999</v>
      </c>
      <c r="C116" s="25">
        <v>20.02</v>
      </c>
      <c r="D116" s="25">
        <v>10.345000000000001</v>
      </c>
      <c r="E116" s="25">
        <v>2.5760000000000001</v>
      </c>
      <c r="F116" s="19">
        <f t="shared" si="3"/>
        <v>646.97020100949044</v>
      </c>
      <c r="G116" s="20">
        <f t="shared" si="4"/>
        <v>-1.1860767751014523E-2</v>
      </c>
      <c r="H116" s="20" cm="1">
        <f t="array" ref="H116">PRODUCT(G116:G151+1)^(1/3)-1</f>
        <v>1.7054089790651039E-2</v>
      </c>
      <c r="I116" s="21">
        <f t="shared" si="5"/>
        <v>487.37506554922106</v>
      </c>
      <c r="J116" s="26">
        <v>66.63</v>
      </c>
    </row>
    <row r="117" spans="1:10" x14ac:dyDescent="0.3">
      <c r="A117" s="24">
        <v>42551</v>
      </c>
      <c r="B117" s="25">
        <v>12577.476084119999</v>
      </c>
      <c r="C117" s="25">
        <v>19.21</v>
      </c>
      <c r="D117" s="25">
        <v>10.374000000000001</v>
      </c>
      <c r="E117" s="25">
        <v>2.6720000000000002</v>
      </c>
      <c r="F117" s="19">
        <f t="shared" si="3"/>
        <v>654.73587111504412</v>
      </c>
      <c r="G117" s="20">
        <f t="shared" si="4"/>
        <v>-1.4395658862664695E-2</v>
      </c>
      <c r="H117" s="20" cm="1">
        <f t="array" ref="H117">PRODUCT(G117:G152+1)^(1/3)-1</f>
        <v>3.1234684859959838E-2</v>
      </c>
      <c r="I117" s="21">
        <f t="shared" si="5"/>
        <v>484.94756719107892</v>
      </c>
      <c r="J117" s="26">
        <v>67.489999999999995</v>
      </c>
    </row>
    <row r="118" spans="1:10" x14ac:dyDescent="0.3">
      <c r="A118" s="24">
        <v>42521</v>
      </c>
      <c r="B118" s="25">
        <v>12599.757072</v>
      </c>
      <c r="C118" s="25">
        <v>18.966999999999999</v>
      </c>
      <c r="D118" s="25">
        <v>10.537000000000001</v>
      </c>
      <c r="E118" s="25">
        <v>2.6680000000000001</v>
      </c>
      <c r="F118" s="19">
        <f t="shared" si="3"/>
        <v>664.29889133758638</v>
      </c>
      <c r="G118" s="20">
        <f t="shared" si="4"/>
        <v>1.302176300347746E-2</v>
      </c>
      <c r="H118" s="20" cm="1">
        <f t="array" ref="H118">PRODUCT(G118:G153+1)^(1/3)-1</f>
        <v>5.1252274731559355E-2</v>
      </c>
      <c r="I118" s="21">
        <f t="shared" si="5"/>
        <v>482.34587006754737</v>
      </c>
      <c r="J118" s="26">
        <v>67.2</v>
      </c>
    </row>
    <row r="119" spans="1:10" x14ac:dyDescent="0.3">
      <c r="A119" s="24">
        <v>42490</v>
      </c>
      <c r="B119" s="25">
        <v>12437.795052539999</v>
      </c>
      <c r="C119" s="25">
        <v>18.966999999999999</v>
      </c>
      <c r="D119" s="25">
        <v>10.537000000000001</v>
      </c>
      <c r="E119" s="25">
        <v>2.6680000000000001</v>
      </c>
      <c r="F119" s="19">
        <f t="shared" si="3"/>
        <v>655.75974337217269</v>
      </c>
      <c r="G119" s="20">
        <f t="shared" si="4"/>
        <v>-6.9869329553964299E-3</v>
      </c>
      <c r="H119" s="20" cm="1">
        <f t="array" ref="H119">PRODUCT(G119:G154+1)^(1/3)-1</f>
        <v>6.2134386055328505E-2</v>
      </c>
      <c r="I119" s="21">
        <f t="shared" si="5"/>
        <v>479.69123366132084</v>
      </c>
      <c r="J119" s="26">
        <v>66.42</v>
      </c>
    </row>
    <row r="120" spans="1:10" x14ac:dyDescent="0.3">
      <c r="A120" s="24">
        <v>42460</v>
      </c>
      <c r="B120" s="25">
        <v>12225.498869999999</v>
      </c>
      <c r="C120" s="25">
        <v>18.513000000000002</v>
      </c>
      <c r="D120" s="25">
        <v>10.779</v>
      </c>
      <c r="E120" s="25">
        <v>2.6749999999999998</v>
      </c>
      <c r="F120" s="19">
        <f t="shared" si="3"/>
        <v>660.37373035164467</v>
      </c>
      <c r="G120" s="20">
        <f t="shared" si="4"/>
        <v>-4.3734712852910307E-2</v>
      </c>
      <c r="H120" s="20" cm="1">
        <f t="array" ref="H120">PRODUCT(G120:G155+1)^(1/3)-1</f>
        <v>4.9313481523651781E-2</v>
      </c>
      <c r="I120" s="21">
        <f t="shared" si="5"/>
        <v>476.9771931224883</v>
      </c>
      <c r="J120" s="26">
        <v>66.25</v>
      </c>
    </row>
    <row r="121" spans="1:10" x14ac:dyDescent="0.3">
      <c r="A121" s="24">
        <v>42429</v>
      </c>
      <c r="B121" s="25">
        <v>11717.000746</v>
      </c>
      <c r="C121" s="25">
        <v>16.966999999999999</v>
      </c>
      <c r="D121" s="25">
        <v>11.113</v>
      </c>
      <c r="E121" s="25">
        <v>2.8069999999999999</v>
      </c>
      <c r="F121" s="19">
        <f t="shared" si="3"/>
        <v>690.57586762539052</v>
      </c>
      <c r="G121" s="20">
        <f t="shared" si="4"/>
        <v>1.5120021466385802E-2</v>
      </c>
      <c r="H121" s="20" cm="1">
        <f t="array" ref="H121">PRODUCT(G121:G156+1)^(1/3)-1</f>
        <v>7.099863968242115E-2</v>
      </c>
      <c r="I121" s="21">
        <f t="shared" si="5"/>
        <v>474.12702508563001</v>
      </c>
      <c r="J121" s="26">
        <v>68.2</v>
      </c>
    </row>
    <row r="122" spans="1:10" x14ac:dyDescent="0.3">
      <c r="A122" s="24">
        <v>42400</v>
      </c>
      <c r="B122" s="25">
        <v>11741.122869520001</v>
      </c>
      <c r="C122" s="25">
        <v>17.259</v>
      </c>
      <c r="D122" s="25">
        <v>11.186</v>
      </c>
      <c r="E122" s="25">
        <v>2.734</v>
      </c>
      <c r="F122" s="19">
        <f t="shared" si="3"/>
        <v>680.2898701848311</v>
      </c>
      <c r="G122" s="20">
        <f t="shared" si="4"/>
        <v>1.8543061266524941E-3</v>
      </c>
      <c r="H122" s="20" cm="1">
        <f t="array" ref="H122">PRODUCT(G122:G157+1)^(1/3)-1</f>
        <v>7.7091680852549915E-2</v>
      </c>
      <c r="I122" s="21">
        <f t="shared" si="5"/>
        <v>470.89041658777211</v>
      </c>
      <c r="J122" s="26">
        <v>67.87</v>
      </c>
    </row>
    <row r="123" spans="1:10" x14ac:dyDescent="0.3">
      <c r="A123" s="24">
        <v>42369</v>
      </c>
      <c r="B123" s="25">
        <v>12187.243709400002</v>
      </c>
      <c r="C123" s="25">
        <v>17.948</v>
      </c>
      <c r="D123" s="25">
        <v>11.148999999999999</v>
      </c>
      <c r="E123" s="25">
        <v>2.5950000000000002</v>
      </c>
      <c r="F123" s="19">
        <f t="shared" si="3"/>
        <v>679.03073932471591</v>
      </c>
      <c r="G123" s="20">
        <f t="shared" si="4"/>
        <v>7.4332473655771558E-3</v>
      </c>
      <c r="H123" s="20" cm="1">
        <f t="array" ref="H123">PRODUCT(G123:G158+1)^(1/3)-1</f>
        <v>6.6231962010914858E-2</v>
      </c>
      <c r="I123" s="21">
        <f t="shared" si="5"/>
        <v>467.71837813820986</v>
      </c>
      <c r="J123" s="26">
        <v>66.2</v>
      </c>
    </row>
    <row r="124" spans="1:10" x14ac:dyDescent="0.3">
      <c r="A124" s="24">
        <v>42338</v>
      </c>
      <c r="B124" s="25">
        <v>12457.92233655</v>
      </c>
      <c r="C124" s="25">
        <v>18.483000000000001</v>
      </c>
      <c r="D124" s="25">
        <v>11.294</v>
      </c>
      <c r="E124" s="25">
        <v>2.5390000000000001</v>
      </c>
      <c r="F124" s="19">
        <f t="shared" si="3"/>
        <v>674.02057764161657</v>
      </c>
      <c r="G124" s="20">
        <f t="shared" si="4"/>
        <v>-8.3500767835408274E-3</v>
      </c>
      <c r="H124" s="20" cm="1">
        <f t="array" ref="H124">PRODUCT(G124:G159+1)^(1/3)-1</f>
        <v>7.2850327738500864E-2</v>
      </c>
      <c r="I124" s="21">
        <f>AVERAGE(F124:F242)</f>
        <v>465.94264401059212</v>
      </c>
      <c r="J124" s="26">
        <v>66.45</v>
      </c>
    </row>
    <row r="125" spans="1:10" x14ac:dyDescent="0.3">
      <c r="A125" s="24">
        <v>42308</v>
      </c>
      <c r="B125" s="25">
        <v>12365.031309319998</v>
      </c>
      <c r="C125" s="25">
        <v>18.192</v>
      </c>
      <c r="D125" s="25">
        <v>11.441000000000001</v>
      </c>
      <c r="E125" s="25">
        <v>2.5299999999999998</v>
      </c>
      <c r="F125" s="19">
        <f t="shared" si="3"/>
        <v>679.69609220096731</v>
      </c>
      <c r="G125" s="20">
        <f t="shared" si="4"/>
        <v>4.9161735210134783E-3</v>
      </c>
      <c r="H125" s="20" cm="1">
        <f t="array" ref="H125">PRODUCT(G125:G160+1)^(1/3)-1</f>
        <v>8.1293566649188742E-2</v>
      </c>
      <c r="I125" s="21">
        <f>AVERAGE(F125:F242)</f>
        <v>464.17927169168519</v>
      </c>
      <c r="J125" s="26">
        <v>65.41</v>
      </c>
    </row>
    <row r="126" spans="1:10" x14ac:dyDescent="0.3">
      <c r="A126" s="24">
        <v>42277</v>
      </c>
      <c r="B126" s="25">
        <v>11482.7493689</v>
      </c>
      <c r="C126" s="25">
        <v>16.977</v>
      </c>
      <c r="D126" s="25">
        <v>11.401999999999999</v>
      </c>
      <c r="E126" s="25">
        <v>2.714</v>
      </c>
      <c r="F126" s="19">
        <f t="shared" si="3"/>
        <v>676.37093531837195</v>
      </c>
      <c r="G126" s="20">
        <f t="shared" si="4"/>
        <v>-1.7558097354961277E-2</v>
      </c>
      <c r="H126" s="20" cm="1">
        <f t="array" ref="H126">PRODUCT(G126:G161+1)^(1/3)-1</f>
        <v>8.6570420692221983E-2</v>
      </c>
      <c r="I126" s="21">
        <f>AVERAGE(F126:F242)</f>
        <v>462.33724758476831</v>
      </c>
      <c r="J126" s="26">
        <v>65.510000000000005</v>
      </c>
    </row>
    <row r="127" spans="1:10" x14ac:dyDescent="0.3">
      <c r="A127" s="24">
        <v>42247</v>
      </c>
      <c r="B127" s="25">
        <v>12076.2587024</v>
      </c>
      <c r="C127" s="25">
        <v>17.541</v>
      </c>
      <c r="D127" s="25">
        <v>11.455</v>
      </c>
      <c r="E127" s="25">
        <v>2.6110000000000002</v>
      </c>
      <c r="F127" s="19">
        <f t="shared" si="3"/>
        <v>688.4589648480702</v>
      </c>
      <c r="G127" s="20">
        <f t="shared" si="4"/>
        <v>3.5843774676930673E-2</v>
      </c>
      <c r="H127" s="20" cm="1">
        <f t="array" ref="H127">PRODUCT(G127:G162+1)^(1/3)-1</f>
        <v>7.7628999943245347E-2</v>
      </c>
      <c r="I127" s="21">
        <f>AVERAGE(F127:F242)</f>
        <v>460.49212958706471</v>
      </c>
      <c r="J127" s="26">
        <v>66.400000000000006</v>
      </c>
    </row>
    <row r="128" spans="1:10" x14ac:dyDescent="0.3">
      <c r="A128" s="24">
        <v>42216</v>
      </c>
      <c r="B128" s="25">
        <v>12492.496474499998</v>
      </c>
      <c r="C128" s="25">
        <v>18.795999999999999</v>
      </c>
      <c r="D128" s="25">
        <v>11.565</v>
      </c>
      <c r="E128" s="25">
        <v>2.4380000000000002</v>
      </c>
      <c r="F128" s="19">
        <f t="shared" si="3"/>
        <v>664.63590521919548</v>
      </c>
      <c r="G128" s="20">
        <f t="shared" si="4"/>
        <v>-5.7130800734350728E-4</v>
      </c>
      <c r="H128" s="20" cm="1">
        <f t="array" ref="H128">PRODUCT(G128:G163+1)^(1/3)-1</f>
        <v>6.0691380432631226E-2</v>
      </c>
      <c r="I128" s="21">
        <f>AVERAGE(F128:F242)</f>
        <v>458.50980928044726</v>
      </c>
      <c r="J128" s="26">
        <v>63.98</v>
      </c>
    </row>
    <row r="129" spans="1:10" x14ac:dyDescent="0.3">
      <c r="A129" s="24">
        <v>42185</v>
      </c>
      <c r="B129" s="25">
        <v>12309.443089010001</v>
      </c>
      <c r="C129" s="25">
        <v>18.510000000000002</v>
      </c>
      <c r="D129" s="25">
        <v>11.565</v>
      </c>
      <c r="E129" s="25">
        <v>2.4729999999999999</v>
      </c>
      <c r="F129" s="19">
        <f t="shared" si="3"/>
        <v>665.01583409022146</v>
      </c>
      <c r="G129" s="20">
        <f t="shared" si="4"/>
        <v>3.2094624250869064E-3</v>
      </c>
      <c r="H129" s="20" cm="1">
        <f t="array" ref="H129">PRODUCT(G129:G164+1)^(1/3)-1</f>
        <v>6.1162250665387052E-2</v>
      </c>
      <c r="I129" s="21">
        <f>AVERAGE(F129:F242)</f>
        <v>456.70168563186184</v>
      </c>
      <c r="J129" s="26">
        <v>63.59</v>
      </c>
    </row>
    <row r="130" spans="1:10" x14ac:dyDescent="0.3">
      <c r="A130" s="24">
        <v>42155</v>
      </c>
      <c r="B130" s="25">
        <v>12633.988470649998</v>
      </c>
      <c r="C130" s="25">
        <v>19.059000000000001</v>
      </c>
      <c r="D130" s="25">
        <v>11.565</v>
      </c>
      <c r="E130" s="25">
        <v>2.3919999999999999</v>
      </c>
      <c r="F130" s="19">
        <f t="shared" ref="F130:F193" si="6">B130/C130</f>
        <v>662.88831893855911</v>
      </c>
      <c r="G130" s="20">
        <f t="shared" ref="G130:G193" si="7">F130/F131-1</f>
        <v>-1.6035606683559744E-2</v>
      </c>
      <c r="H130" s="20" cm="1">
        <f t="array" ref="H130">PRODUCT(G130:G165+1)^(1/3)-1</f>
        <v>6.3884103920757385E-2</v>
      </c>
      <c r="I130" s="21">
        <f>AVERAGE(F130:F242)</f>
        <v>454.85819759240729</v>
      </c>
      <c r="J130" s="26">
        <v>63.73</v>
      </c>
    </row>
    <row r="131" spans="1:10" x14ac:dyDescent="0.3">
      <c r="A131" s="24">
        <v>42124</v>
      </c>
      <c r="B131" s="25">
        <v>12608.807657600002</v>
      </c>
      <c r="C131" s="25">
        <v>18.716000000000001</v>
      </c>
      <c r="D131" s="25">
        <v>11.766999999999999</v>
      </c>
      <c r="E131" s="25">
        <v>2.387</v>
      </c>
      <c r="F131" s="19">
        <f t="shared" si="6"/>
        <v>673.69136875400739</v>
      </c>
      <c r="G131" s="20">
        <f t="shared" si="7"/>
        <v>3.7224893499490985E-2</v>
      </c>
      <c r="H131" s="20" cm="1">
        <f t="array" ref="H131">PRODUCT(G131:G166+1)^(1/3)-1</f>
        <v>8.9566409316668816E-2</v>
      </c>
      <c r="I131" s="21">
        <f>AVERAGE(F131:F242)</f>
        <v>453.00078579467385</v>
      </c>
      <c r="J131" s="26">
        <v>63.52</v>
      </c>
    </row>
    <row r="132" spans="1:10" x14ac:dyDescent="0.3">
      <c r="A132" s="24">
        <v>42094</v>
      </c>
      <c r="B132" s="25">
        <v>12014.047605240001</v>
      </c>
      <c r="C132" s="25">
        <v>18.497</v>
      </c>
      <c r="D132" s="25">
        <v>11.787000000000001</v>
      </c>
      <c r="E132" s="25">
        <v>2.3889999999999998</v>
      </c>
      <c r="F132" s="19">
        <f t="shared" si="6"/>
        <v>649.51330514353685</v>
      </c>
      <c r="G132" s="20">
        <f t="shared" si="7"/>
        <v>-2.5062953018706424E-2</v>
      </c>
      <c r="H132" s="20" cm="1">
        <f t="array" ref="H132">PRODUCT(G132:G167+1)^(1/3)-1</f>
        <v>8.8740062463050329E-2</v>
      </c>
      <c r="I132" s="21">
        <f>AVERAGE(F132:F242)</f>
        <v>451.01258234458976</v>
      </c>
      <c r="J132" s="26">
        <v>62.28</v>
      </c>
    </row>
    <row r="133" spans="1:10" x14ac:dyDescent="0.3">
      <c r="A133" s="24">
        <v>42063</v>
      </c>
      <c r="B133" s="25">
        <v>12079.72892745</v>
      </c>
      <c r="C133" s="25">
        <v>18.132000000000001</v>
      </c>
      <c r="D133" s="25">
        <v>12.11</v>
      </c>
      <c r="E133" s="25">
        <v>2.3610000000000002</v>
      </c>
      <c r="F133" s="19">
        <f t="shared" si="6"/>
        <v>666.210507801125</v>
      </c>
      <c r="G133" s="20">
        <f t="shared" si="7"/>
        <v>-5.4907085719202442E-6</v>
      </c>
      <c r="H133" s="20" cm="1">
        <f t="array" ref="H133">PRODUCT(G133:G168+1)^(1/3)-1</f>
        <v>0.10823816699133904</v>
      </c>
      <c r="I133" s="21">
        <f>AVERAGE(F133:F242)</f>
        <v>449.20803031914488</v>
      </c>
      <c r="J133" s="26">
        <v>61.65</v>
      </c>
    </row>
    <row r="134" spans="1:10" x14ac:dyDescent="0.3">
      <c r="A134" s="24">
        <v>42035</v>
      </c>
      <c r="B134" s="25">
        <v>11509.51592817</v>
      </c>
      <c r="C134" s="25">
        <v>17.276</v>
      </c>
      <c r="D134" s="25">
        <v>12.090999999999999</v>
      </c>
      <c r="E134" s="25">
        <v>2.4609999999999999</v>
      </c>
      <c r="F134" s="19">
        <f t="shared" si="6"/>
        <v>666.21416578895582</v>
      </c>
      <c r="G134" s="20">
        <f t="shared" si="7"/>
        <v>-2.5562418978910428E-2</v>
      </c>
      <c r="H134" s="20" cm="1">
        <f t="array" ref="H134">PRODUCT(G134:G169+1)^(1/3)-1</f>
        <v>0.1035875132112114</v>
      </c>
      <c r="I134" s="21">
        <f>AVERAGE(F134:F242)</f>
        <v>447.21718190187892</v>
      </c>
      <c r="J134" s="26">
        <v>62.01</v>
      </c>
    </row>
    <row r="135" spans="1:10" x14ac:dyDescent="0.3">
      <c r="A135" s="24">
        <v>42004</v>
      </c>
      <c r="B135" s="25">
        <v>11884.59996768</v>
      </c>
      <c r="C135" s="25">
        <v>17.382999999999999</v>
      </c>
      <c r="D135" s="25">
        <v>12.057</v>
      </c>
      <c r="E135" s="25">
        <v>2.4609999999999999</v>
      </c>
      <c r="F135" s="19">
        <f t="shared" si="6"/>
        <v>683.69096057527474</v>
      </c>
      <c r="G135" s="20">
        <f t="shared" si="7"/>
        <v>2.9903413455076855E-3</v>
      </c>
      <c r="H135" s="20" cm="1">
        <f t="array" ref="H135">PRODUCT(G135:G170+1)^(1/3)-1</f>
        <v>9.1844502546685858E-2</v>
      </c>
      <c r="I135" s="21">
        <f>AVERAGE(F135:F242)</f>
        <v>445.18943205107257</v>
      </c>
      <c r="J135" s="26">
        <v>63.03</v>
      </c>
    </row>
    <row r="136" spans="1:10" x14ac:dyDescent="0.3">
      <c r="A136" s="24">
        <v>41973</v>
      </c>
      <c r="B136" s="25">
        <v>11958.9129804</v>
      </c>
      <c r="C136" s="25">
        <v>17.544</v>
      </c>
      <c r="D136" s="25">
        <v>12.112</v>
      </c>
      <c r="E136" s="25">
        <v>2.4609999999999999</v>
      </c>
      <c r="F136" s="19">
        <f t="shared" si="6"/>
        <v>681.65258666210673</v>
      </c>
      <c r="G136" s="20">
        <f t="shared" si="7"/>
        <v>1.8811140406332472E-2</v>
      </c>
      <c r="H136" s="20" cm="1">
        <f t="array" ref="H136">PRODUCT(G136:G171+1)^(1/3)-1</f>
        <v>9.0718392477438847E-2</v>
      </c>
      <c r="I136" s="21">
        <f>AVERAGE(F136:F242)</f>
        <v>442.96044580318289</v>
      </c>
      <c r="J136" s="26">
        <v>62.2</v>
      </c>
    </row>
    <row r="137" spans="1:10" x14ac:dyDescent="0.3">
      <c r="A137" s="24">
        <v>41943</v>
      </c>
      <c r="B137" s="25">
        <v>11608.97595452</v>
      </c>
      <c r="C137" s="25">
        <v>17.350999999999999</v>
      </c>
      <c r="D137" s="25">
        <v>12.005000000000001</v>
      </c>
      <c r="E137" s="25">
        <v>2.4609999999999999</v>
      </c>
      <c r="F137" s="19">
        <f t="shared" si="6"/>
        <v>669.066679414443</v>
      </c>
      <c r="G137" s="20">
        <f t="shared" si="7"/>
        <v>-1.215188601327355E-2</v>
      </c>
      <c r="H137" s="20" cm="1">
        <f t="array" ref="H137">PRODUCT(G137:G172+1)^(1/3)-1</f>
        <v>0.10640077203961362</v>
      </c>
      <c r="I137" s="21">
        <f>AVERAGE(F137:F242)</f>
        <v>440.70863315357036</v>
      </c>
      <c r="J137" s="26">
        <v>61.39</v>
      </c>
    </row>
    <row r="138" spans="1:10" x14ac:dyDescent="0.3">
      <c r="A138" s="24">
        <v>41912</v>
      </c>
      <c r="B138" s="25">
        <v>11629.191495020001</v>
      </c>
      <c r="C138" s="25">
        <v>17.170000000000002</v>
      </c>
      <c r="D138" s="25">
        <v>11.994</v>
      </c>
      <c r="E138" s="25">
        <v>2.4609999999999999</v>
      </c>
      <c r="F138" s="19">
        <f t="shared" si="6"/>
        <v>677.29711677460682</v>
      </c>
      <c r="G138" s="20">
        <f t="shared" si="7"/>
        <v>1.0762208985950927E-2</v>
      </c>
      <c r="H138" s="20" cm="1">
        <f t="array" ref="H138">PRODUCT(G138:G173+1)^(1/3)-1</f>
        <v>0.11622654600185212</v>
      </c>
      <c r="I138" s="21">
        <f>AVERAGE(F138:F242)</f>
        <v>438.53379461775262</v>
      </c>
      <c r="J138" s="26">
        <v>61.93</v>
      </c>
    </row>
    <row r="139" spans="1:10" x14ac:dyDescent="0.3">
      <c r="A139" s="24">
        <v>41882</v>
      </c>
      <c r="B139" s="25">
        <v>11743.248675059998</v>
      </c>
      <c r="C139" s="25">
        <v>17.524999999999999</v>
      </c>
      <c r="D139" s="25">
        <v>11.988</v>
      </c>
      <c r="E139" s="25">
        <v>2.4609999999999999</v>
      </c>
      <c r="F139" s="19">
        <f t="shared" si="6"/>
        <v>670.0855164085591</v>
      </c>
      <c r="G139" s="20">
        <f t="shared" si="7"/>
        <v>9.6424945122977057E-3</v>
      </c>
      <c r="H139" s="20" cm="1">
        <f t="array" ref="H139">PRODUCT(G139:G174+1)^(1/3)-1</f>
        <v>0.12852587384825331</v>
      </c>
      <c r="I139" s="21">
        <f>AVERAGE(F139:F242)</f>
        <v>436.2379934431674</v>
      </c>
      <c r="J139" s="26">
        <v>60.51</v>
      </c>
    </row>
    <row r="140" spans="1:10" x14ac:dyDescent="0.3">
      <c r="A140" s="24">
        <v>41851</v>
      </c>
      <c r="B140" s="25">
        <v>11497.03133915</v>
      </c>
      <c r="C140" s="25">
        <v>17.323</v>
      </c>
      <c r="D140" s="25">
        <v>11.936999999999999</v>
      </c>
      <c r="E140" s="25">
        <v>2.4609999999999999</v>
      </c>
      <c r="F140" s="19">
        <f t="shared" si="6"/>
        <v>663.68592848525088</v>
      </c>
      <c r="G140" s="20">
        <f t="shared" si="7"/>
        <v>1.2027968719354742E-3</v>
      </c>
      <c r="H140" s="20" cm="1">
        <f t="array" ref="H140">PRODUCT(G140:G175+1)^(1/3)-1</f>
        <v>0.1462024068825174</v>
      </c>
      <c r="I140" s="21">
        <f>AVERAGE(F140:F242)</f>
        <v>433.96762914253259</v>
      </c>
      <c r="J140" s="26">
        <v>60.55</v>
      </c>
    </row>
    <row r="141" spans="1:10" x14ac:dyDescent="0.3">
      <c r="A141" s="24">
        <v>41820</v>
      </c>
      <c r="B141" s="25">
        <v>11542.21644495</v>
      </c>
      <c r="C141" s="25">
        <v>17.411999999999999</v>
      </c>
      <c r="D141" s="25">
        <v>11.941000000000001</v>
      </c>
      <c r="E141" s="25">
        <v>2.4609999999999999</v>
      </c>
      <c r="F141" s="19">
        <f t="shared" si="6"/>
        <v>662.88860814093732</v>
      </c>
      <c r="G141" s="20">
        <f t="shared" si="7"/>
        <v>1.7598121088675978E-2</v>
      </c>
      <c r="H141" s="20" cm="1">
        <f t="array" ref="H141">PRODUCT(G141:G176+1)^(1/3)-1</f>
        <v>0.13739470606838511</v>
      </c>
      <c r="I141" s="21">
        <f>AVERAGE(F141:F242)</f>
        <v>431.71548895289806</v>
      </c>
      <c r="J141" s="26">
        <v>60.05</v>
      </c>
    </row>
    <row r="142" spans="1:10" x14ac:dyDescent="0.3">
      <c r="A142" s="24">
        <v>41790</v>
      </c>
      <c r="B142" s="25">
        <v>11164.7688999</v>
      </c>
      <c r="C142" s="25">
        <v>17.138999999999999</v>
      </c>
      <c r="D142" s="25">
        <v>11.997999999999999</v>
      </c>
      <c r="E142" s="25">
        <v>2.4609999999999999</v>
      </c>
      <c r="F142" s="19">
        <f t="shared" si="6"/>
        <v>651.42475639768952</v>
      </c>
      <c r="G142" s="20">
        <f t="shared" si="7"/>
        <v>-1.3500116771426596E-2</v>
      </c>
      <c r="H142" s="20" cm="1">
        <f t="array" ref="H142">PRODUCT(G142:G177+1)^(1/3)-1</f>
        <v>0.13288408317725553</v>
      </c>
      <c r="I142" s="21">
        <f>AVERAGE(F142:F242)</f>
        <v>429.42664618866002</v>
      </c>
      <c r="J142" s="26">
        <v>59.18</v>
      </c>
    </row>
    <row r="143" spans="1:10" x14ac:dyDescent="0.3">
      <c r="A143" s="24">
        <v>41759</v>
      </c>
      <c r="B143" s="25">
        <v>11146.52933562</v>
      </c>
      <c r="C143" s="25">
        <v>16.88</v>
      </c>
      <c r="D143" s="25">
        <v>11.984999999999999</v>
      </c>
      <c r="E143" s="25">
        <v>2.4609999999999999</v>
      </c>
      <c r="F143" s="19">
        <f t="shared" si="6"/>
        <v>660.33941561729864</v>
      </c>
      <c r="G143" s="20">
        <f t="shared" si="7"/>
        <v>8.814474101136005E-3</v>
      </c>
      <c r="H143" s="20" cm="1">
        <f t="array" ref="H143">PRODUCT(G143:G178+1)^(1/3)-1</f>
        <v>0.15359690987534869</v>
      </c>
      <c r="I143" s="21">
        <f>AVERAGE(F143:F242)</f>
        <v>427.20666508656979</v>
      </c>
      <c r="J143" s="26">
        <v>60.34</v>
      </c>
    </row>
    <row r="144" spans="1:10" x14ac:dyDescent="0.3">
      <c r="A144" s="24">
        <v>41729</v>
      </c>
      <c r="B144" s="25">
        <v>10981.06175198</v>
      </c>
      <c r="C144" s="25">
        <v>16.776</v>
      </c>
      <c r="D144" s="25">
        <v>12.077999999999999</v>
      </c>
      <c r="E144" s="25">
        <v>2.4609999999999999</v>
      </c>
      <c r="F144" s="19">
        <f t="shared" si="6"/>
        <v>654.56972770505479</v>
      </c>
      <c r="G144" s="20">
        <f t="shared" si="7"/>
        <v>-8.7320309283868136E-3</v>
      </c>
      <c r="H144" s="20" cm="1">
        <f t="array" ref="H144">PRODUCT(G144:G179+1)^(1/3)-1</f>
        <v>0.16005904944827676</v>
      </c>
      <c r="I144" s="21">
        <f>AVERAGE(F144:F242)</f>
        <v>424.85178881858258</v>
      </c>
      <c r="J144" s="26">
        <v>60.01</v>
      </c>
    </row>
    <row r="145" spans="1:10" x14ac:dyDescent="0.3">
      <c r="A145" s="24">
        <v>41698</v>
      </c>
      <c r="B145" s="25">
        <v>11256.744388339999</v>
      </c>
      <c r="C145" s="25">
        <v>17.047000000000001</v>
      </c>
      <c r="D145" s="25">
        <v>12</v>
      </c>
      <c r="E145" s="25">
        <v>2.4609999999999999</v>
      </c>
      <c r="F145" s="19">
        <f t="shared" si="6"/>
        <v>660.33580033671603</v>
      </c>
      <c r="G145" s="20">
        <f t="shared" si="7"/>
        <v>3.2469738203011467E-4</v>
      </c>
      <c r="H145" s="20" cm="1">
        <f t="array" ref="H145">PRODUCT(G145:G180+1)^(1/3)-1</f>
        <v>0.18641182999407535</v>
      </c>
      <c r="I145" s="21">
        <f>AVERAGE(F145:F242)</f>
        <v>422.50772821770028</v>
      </c>
      <c r="J145" s="26">
        <v>61.79</v>
      </c>
    </row>
    <row r="146" spans="1:10" x14ac:dyDescent="0.3">
      <c r="A146" s="24">
        <v>41670</v>
      </c>
      <c r="B146" s="25">
        <v>10892.664221800002</v>
      </c>
      <c r="C146" s="25">
        <v>16.501000000000001</v>
      </c>
      <c r="D146" s="25">
        <v>12.087999999999999</v>
      </c>
      <c r="E146" s="25">
        <v>2.4609999999999999</v>
      </c>
      <c r="F146" s="19">
        <f t="shared" si="6"/>
        <v>660.12146062662873</v>
      </c>
      <c r="G146" s="20">
        <f t="shared" si="7"/>
        <v>7.3607667048500858E-3</v>
      </c>
      <c r="H146" s="20" cm="1">
        <f t="array" ref="H146">PRODUCT(G146:G181+1)^(1/3)-1</f>
        <v>0.18625711084401031</v>
      </c>
      <c r="I146" s="21">
        <f>AVERAGE(F146:F242)</f>
        <v>420.05589242265887</v>
      </c>
      <c r="J146" s="26">
        <v>62.68</v>
      </c>
    </row>
    <row r="147" spans="1:10" x14ac:dyDescent="0.3">
      <c r="A147" s="24">
        <v>41639</v>
      </c>
      <c r="B147" s="25">
        <v>11187.246861600001</v>
      </c>
      <c r="C147" s="25">
        <v>17.071999999999999</v>
      </c>
      <c r="D147" s="25">
        <v>12.118</v>
      </c>
      <c r="E147" s="25">
        <v>2.4609999999999999</v>
      </c>
      <c r="F147" s="19">
        <f t="shared" si="6"/>
        <v>655.29796518275543</v>
      </c>
      <c r="G147" s="20">
        <f t="shared" si="7"/>
        <v>-1.0644102803727962E-2</v>
      </c>
      <c r="H147" s="20" cm="1">
        <f t="array" ref="H147">PRODUCT(G147:G182+1)^(1/3)-1</f>
        <v>0.19451602614088626</v>
      </c>
      <c r="I147" s="21">
        <f>AVERAGE(F147:F242)</f>
        <v>417.55520942053414</v>
      </c>
      <c r="J147" s="26">
        <v>61.8</v>
      </c>
    </row>
    <row r="148" spans="1:10" x14ac:dyDescent="0.3">
      <c r="A148" s="24">
        <v>41608</v>
      </c>
      <c r="B148" s="25">
        <v>11104.265327999999</v>
      </c>
      <c r="C148" s="25">
        <v>16.765000000000001</v>
      </c>
      <c r="D148" s="25">
        <v>12.102</v>
      </c>
      <c r="E148" s="25">
        <v>2.4609999999999999</v>
      </c>
      <c r="F148" s="19">
        <f t="shared" si="6"/>
        <v>662.34806609006853</v>
      </c>
      <c r="G148" s="20">
        <f t="shared" si="7"/>
        <v>-4.2220962115186222E-2</v>
      </c>
      <c r="H148" s="20" cm="1">
        <f t="array" ref="H148">PRODUCT(G148:G183+1)^(1/3)-1</f>
        <v>0.19881406322554485</v>
      </c>
      <c r="I148" s="21">
        <f t="shared" ref="I148:I211" si="8">AVERAGE(F148:F242)</f>
        <v>415.05265409672137</v>
      </c>
      <c r="J148" s="26">
        <v>62.4</v>
      </c>
    </row>
    <row r="149" spans="1:10" x14ac:dyDescent="0.3">
      <c r="A149" s="24">
        <v>41578</v>
      </c>
      <c r="B149" s="25">
        <v>10812.31850322</v>
      </c>
      <c r="C149" s="25">
        <v>15.635</v>
      </c>
      <c r="D149" s="25">
        <v>11.999000000000001</v>
      </c>
      <c r="E149" s="25">
        <v>2.4609999999999999</v>
      </c>
      <c r="F149" s="19">
        <f t="shared" si="6"/>
        <v>691.54579489734567</v>
      </c>
      <c r="G149" s="20">
        <f t="shared" si="7"/>
        <v>2.4068560340258394E-2</v>
      </c>
      <c r="H149" s="20" cm="1">
        <f t="array" ref="H149">PRODUCT(G149:G184+1)^(1/3)-1</f>
        <v>0.24492821902968553</v>
      </c>
      <c r="I149" s="21">
        <f t="shared" si="8"/>
        <v>412.42185184147286</v>
      </c>
      <c r="J149" s="26">
        <v>61.62</v>
      </c>
    </row>
    <row r="150" spans="1:10" x14ac:dyDescent="0.3">
      <c r="A150" s="24">
        <v>41547</v>
      </c>
      <c r="B150" s="25">
        <v>10558.197880450001</v>
      </c>
      <c r="C150" s="25">
        <v>15.635</v>
      </c>
      <c r="D150" s="25">
        <v>11.999000000000001</v>
      </c>
      <c r="E150" s="25">
        <v>2.4609999999999999</v>
      </c>
      <c r="F150" s="19">
        <f t="shared" si="6"/>
        <v>675.29247716341547</v>
      </c>
      <c r="G150" s="20">
        <f t="shared" si="7"/>
        <v>1.7200863075661488E-3</v>
      </c>
      <c r="H150" s="20" cm="1">
        <f t="array" ref="H150">PRODUCT(G150:G185+1)^(1/3)-1</f>
        <v>0.23847408643351908</v>
      </c>
      <c r="I150" s="21">
        <f t="shared" si="8"/>
        <v>409.42051912044195</v>
      </c>
      <c r="J150" s="26">
        <v>62.59</v>
      </c>
    </row>
    <row r="151" spans="1:10" x14ac:dyDescent="0.3">
      <c r="A151" s="24">
        <v>41517</v>
      </c>
      <c r="B151" s="25">
        <v>10540.06805371</v>
      </c>
      <c r="C151" s="25">
        <v>15.635</v>
      </c>
      <c r="D151" s="25">
        <v>11.999000000000001</v>
      </c>
      <c r="E151" s="25">
        <v>2.4609999999999999</v>
      </c>
      <c r="F151" s="19">
        <f t="shared" si="6"/>
        <v>674.13291037480008</v>
      </c>
      <c r="G151" s="20">
        <f t="shared" si="7"/>
        <v>9.6209100511049028E-2</v>
      </c>
      <c r="H151" s="20" cm="1">
        <f t="array" ref="H151">PRODUCT(G151:G186+1)^(1/3)-1</f>
        <v>0.23389516127302068</v>
      </c>
      <c r="I151" s="21">
        <f t="shared" si="8"/>
        <v>406.53060653301833</v>
      </c>
      <c r="J151" s="26">
        <v>65.709999999999994</v>
      </c>
    </row>
    <row r="152" spans="1:10" x14ac:dyDescent="0.3">
      <c r="A152" s="24">
        <v>41486</v>
      </c>
      <c r="B152" s="25">
        <v>9969.8522279199988</v>
      </c>
      <c r="C152" s="25">
        <v>16.212</v>
      </c>
      <c r="D152" s="25">
        <v>11.840999999999999</v>
      </c>
      <c r="E152" s="25">
        <v>2.4609999999999999</v>
      </c>
      <c r="F152" s="19">
        <f t="shared" si="6"/>
        <v>614.96744559092019</v>
      </c>
      <c r="G152" s="20">
        <f t="shared" si="7"/>
        <v>3.0050521295132526E-2</v>
      </c>
      <c r="H152" s="20" cm="1">
        <f t="array" ref="H152">PRODUCT(G152:G187+1)^(1/3)-1</f>
        <v>0.22610302314649244</v>
      </c>
      <c r="I152" s="21">
        <f t="shared" si="8"/>
        <v>403.58992187541617</v>
      </c>
      <c r="J152" s="26">
        <v>60.86</v>
      </c>
    </row>
    <row r="153" spans="1:10" x14ac:dyDescent="0.3">
      <c r="A153" s="24">
        <v>41455</v>
      </c>
      <c r="B153" s="25">
        <v>9306.4489009900008</v>
      </c>
      <c r="C153" s="25">
        <v>15.587999999999999</v>
      </c>
      <c r="D153" s="25">
        <v>11.852</v>
      </c>
      <c r="E153" s="25">
        <v>2.4609999999999999</v>
      </c>
      <c r="F153" s="19">
        <f t="shared" si="6"/>
        <v>597.02648838786251</v>
      </c>
      <c r="G153" s="20">
        <f t="shared" si="7"/>
        <v>4.4121209973924769E-2</v>
      </c>
      <c r="H153" s="20" cm="1">
        <f t="array" ref="H153">PRODUCT(G153:G188+1)^(1/3)-1</f>
        <v>0.22480902010893677</v>
      </c>
      <c r="I153" s="21">
        <f t="shared" si="8"/>
        <v>401.24128272302181</v>
      </c>
      <c r="J153" s="26">
        <v>59.53</v>
      </c>
    </row>
    <row r="154" spans="1:10" x14ac:dyDescent="0.3">
      <c r="A154" s="24">
        <v>41425</v>
      </c>
      <c r="B154" s="25">
        <v>9111.6021794999997</v>
      </c>
      <c r="C154" s="25">
        <v>15.935</v>
      </c>
      <c r="D154" s="25">
        <v>11.965</v>
      </c>
      <c r="E154" s="25">
        <v>2.4609999999999999</v>
      </c>
      <c r="F154" s="19">
        <f t="shared" si="6"/>
        <v>571.79806586131156</v>
      </c>
      <c r="G154" s="20">
        <f t="shared" si="7"/>
        <v>4.480763424103662E-2</v>
      </c>
      <c r="H154" s="20" cm="1">
        <f t="array" ref="H154">PRODUCT(G154:G189+1)^(1/3)-1</f>
        <v>0.22923513554031549</v>
      </c>
      <c r="I154" s="21">
        <f t="shared" si="8"/>
        <v>399.04144895150682</v>
      </c>
      <c r="J154" s="26">
        <v>56.58</v>
      </c>
    </row>
    <row r="155" spans="1:10" x14ac:dyDescent="0.3">
      <c r="A155" s="24">
        <v>41394</v>
      </c>
      <c r="B155" s="25">
        <v>8669.9452248499983</v>
      </c>
      <c r="C155" s="25">
        <v>15.842000000000001</v>
      </c>
      <c r="D155" s="25">
        <v>12.081</v>
      </c>
      <c r="E155" s="25">
        <v>2.4609999999999999</v>
      </c>
      <c r="F155" s="19">
        <f t="shared" si="6"/>
        <v>547.27592632559004</v>
      </c>
      <c r="G155" s="20">
        <f t="shared" si="7"/>
        <v>-4.2514261255381713E-2</v>
      </c>
      <c r="H155" s="20" cm="1">
        <f t="array" ref="H155">PRODUCT(G155:G190+1)^(1/3)-1</f>
        <v>0.25961051493585763</v>
      </c>
      <c r="I155" s="21">
        <f t="shared" si="8"/>
        <v>397.07830557753164</v>
      </c>
      <c r="J155" s="26">
        <v>53.69</v>
      </c>
    </row>
    <row r="156" spans="1:10" x14ac:dyDescent="0.3">
      <c r="A156" s="24">
        <v>41364</v>
      </c>
      <c r="B156" s="25">
        <v>8523.3422108899995</v>
      </c>
      <c r="C156" s="25">
        <v>14.912000000000001</v>
      </c>
      <c r="D156" s="25">
        <v>12.340999999999999</v>
      </c>
      <c r="E156" s="25">
        <v>2.4609999999999999</v>
      </c>
      <c r="F156" s="19">
        <f t="shared" si="6"/>
        <v>571.5760602796405</v>
      </c>
      <c r="G156" s="20">
        <f t="shared" si="7"/>
        <v>1.6785608360395221E-2</v>
      </c>
      <c r="H156" s="20" cm="1">
        <f t="array" ref="H156">PRODUCT(G156:G191+1)^(1/3)-1</f>
        <v>0.28981362373316477</v>
      </c>
      <c r="I156" s="21">
        <f t="shared" si="8"/>
        <v>395.35189614364594</v>
      </c>
      <c r="J156" s="26">
        <v>54.29</v>
      </c>
    </row>
    <row r="157" spans="1:10" x14ac:dyDescent="0.3">
      <c r="A157" s="24">
        <v>41333</v>
      </c>
      <c r="B157" s="25">
        <v>8382.6345896399998</v>
      </c>
      <c r="C157" s="25">
        <v>14.912000000000001</v>
      </c>
      <c r="D157" s="25">
        <v>12.340999999999999</v>
      </c>
      <c r="E157" s="25">
        <v>2.4609999999999999</v>
      </c>
      <c r="F157" s="19">
        <f t="shared" si="6"/>
        <v>562.14019512070809</v>
      </c>
      <c r="G157" s="20">
        <f t="shared" si="7"/>
        <v>3.2544197616570347E-2</v>
      </c>
      <c r="H157" s="20" cm="1">
        <f t="array" ref="H157">PRODUCT(G157:G192+1)^(1/3)-1</f>
        <v>0.39502503441296088</v>
      </c>
      <c r="I157" s="21">
        <f t="shared" si="8"/>
        <v>393.30277795601802</v>
      </c>
      <c r="J157" s="26">
        <v>54.37</v>
      </c>
    </row>
    <row r="158" spans="1:10" x14ac:dyDescent="0.3">
      <c r="A158" s="24">
        <v>41305</v>
      </c>
      <c r="B158" s="25">
        <v>8215.8785107200001</v>
      </c>
      <c r="C158" s="25">
        <v>15.090999999999999</v>
      </c>
      <c r="D158" s="25">
        <v>12.161</v>
      </c>
      <c r="E158" s="25">
        <v>2.4609999999999999</v>
      </c>
      <c r="F158" s="19">
        <f t="shared" si="6"/>
        <v>544.42240479226029</v>
      </c>
      <c r="G158" s="20">
        <f t="shared" si="7"/>
        <v>-2.81446142438736E-2</v>
      </c>
      <c r="H158" s="20" cm="1">
        <f t="array" ref="H158">PRODUCT(G158:G193+1)^(1/3)-1</f>
        <v>0.38584612860002787</v>
      </c>
      <c r="I158" s="21">
        <f t="shared" si="8"/>
        <v>391.31645540113936</v>
      </c>
      <c r="J158" s="26">
        <v>53.28</v>
      </c>
    </row>
    <row r="159" spans="1:10" x14ac:dyDescent="0.3">
      <c r="A159" s="24">
        <v>41274</v>
      </c>
      <c r="B159" s="25">
        <v>8107.6110500000004</v>
      </c>
      <c r="C159" s="25">
        <v>14.473000000000001</v>
      </c>
      <c r="D159" s="25">
        <v>12.101000000000001</v>
      </c>
      <c r="E159" s="25">
        <v>2.4609999999999999</v>
      </c>
      <c r="F159" s="19">
        <f t="shared" si="6"/>
        <v>560.18869964761973</v>
      </c>
      <c r="G159" s="20">
        <f t="shared" si="7"/>
        <v>2.6310099933186448E-2</v>
      </c>
      <c r="H159" s="20" cm="1">
        <f t="array" ref="H159">PRODUCT(G159:G194+1)^(1/3)-1</f>
        <v>0.39123674816038423</v>
      </c>
      <c r="I159" s="21">
        <f t="shared" si="8"/>
        <v>389.49376552743547</v>
      </c>
      <c r="J159" s="26">
        <v>55</v>
      </c>
    </row>
    <row r="160" spans="1:10" x14ac:dyDescent="0.3">
      <c r="A160" s="24">
        <v>41243</v>
      </c>
      <c r="B160" s="25">
        <v>7822.8056450700005</v>
      </c>
      <c r="C160" s="25">
        <v>14.332000000000001</v>
      </c>
      <c r="D160" s="25">
        <v>11.954000000000001</v>
      </c>
      <c r="E160" s="25">
        <v>2.4609999999999999</v>
      </c>
      <c r="F160" s="19">
        <f t="shared" si="6"/>
        <v>545.82791271769463</v>
      </c>
      <c r="G160" s="20">
        <f t="shared" si="7"/>
        <v>1.5247258009784437E-2</v>
      </c>
      <c r="H160" s="20" cm="1">
        <f t="array" ref="H160">PRODUCT(G160:G195+1)^(1/3)-1</f>
        <v>0.36373328818468198</v>
      </c>
      <c r="I160" s="21">
        <f t="shared" si="8"/>
        <v>387.437200056108</v>
      </c>
      <c r="J160" s="26">
        <v>54.27</v>
      </c>
    </row>
    <row r="161" spans="1:10" x14ac:dyDescent="0.3">
      <c r="A161" s="24">
        <v>41213</v>
      </c>
      <c r="B161" s="25">
        <v>7658.5467779600003</v>
      </c>
      <c r="C161" s="25">
        <v>14.244999999999999</v>
      </c>
      <c r="D161" s="25">
        <v>12.025</v>
      </c>
      <c r="E161" s="25">
        <v>2.4609999999999999</v>
      </c>
      <c r="F161" s="19">
        <f t="shared" si="6"/>
        <v>537.63052144331346</v>
      </c>
      <c r="G161" s="20">
        <f t="shared" si="7"/>
        <v>1.9700455714244836E-2</v>
      </c>
      <c r="H161" s="20" cm="1">
        <f t="array" ref="H161">PRODUCT(G161:G196+1)^(1/3)-1</f>
        <v>0.33489751993548289</v>
      </c>
      <c r="I161" s="21">
        <f t="shared" si="8"/>
        <v>385.50560599925939</v>
      </c>
      <c r="J161" s="26">
        <v>53.81</v>
      </c>
    </row>
    <row r="162" spans="1:10" x14ac:dyDescent="0.3">
      <c r="A162" s="24">
        <v>41182</v>
      </c>
      <c r="B162" s="25">
        <v>7573.8540639599996</v>
      </c>
      <c r="C162" s="25">
        <v>14.365</v>
      </c>
      <c r="D162" s="25">
        <v>12.002000000000001</v>
      </c>
      <c r="E162" s="25">
        <v>2.4609999999999999</v>
      </c>
      <c r="F162" s="19">
        <f t="shared" si="6"/>
        <v>527.24358259380438</v>
      </c>
      <c r="G162" s="20">
        <f t="shared" si="7"/>
        <v>-4.1612693050090965E-2</v>
      </c>
      <c r="H162" s="20" cm="1">
        <f t="array" ref="H162">PRODUCT(G162:G197+1)^(1/3)-1</f>
        <v>0.32017827337081006</v>
      </c>
      <c r="I162" s="21">
        <f t="shared" si="8"/>
        <v>383.62752062340684</v>
      </c>
      <c r="J162" s="26">
        <v>52.86</v>
      </c>
    </row>
    <row r="163" spans="1:10" x14ac:dyDescent="0.3">
      <c r="A163" s="24">
        <v>41152</v>
      </c>
      <c r="B163" s="25">
        <v>7713.4601198700002</v>
      </c>
      <c r="C163" s="25">
        <v>14.021000000000001</v>
      </c>
      <c r="D163" s="25">
        <v>12.084</v>
      </c>
      <c r="E163" s="25">
        <v>2.4609999999999999</v>
      </c>
      <c r="F163" s="19">
        <f t="shared" si="6"/>
        <v>550.13623278439479</v>
      </c>
      <c r="G163" s="20">
        <f t="shared" si="7"/>
        <v>-1.2235147057137463E-2</v>
      </c>
      <c r="H163" s="20" cm="1">
        <f t="array" ref="H163">PRODUCT(G163:G198+1)^(1/3)-1</f>
        <v>0.27891763047538709</v>
      </c>
      <c r="I163" s="21">
        <f t="shared" si="8"/>
        <v>381.83231984877688</v>
      </c>
      <c r="J163" s="26">
        <v>55.53</v>
      </c>
    </row>
    <row r="164" spans="1:10" x14ac:dyDescent="0.3">
      <c r="A164" s="24">
        <v>41121</v>
      </c>
      <c r="B164" s="25">
        <v>7553.3641096800002</v>
      </c>
      <c r="C164" s="25">
        <v>13.561999999999999</v>
      </c>
      <c r="D164" s="25">
        <v>12.316000000000001</v>
      </c>
      <c r="E164" s="25">
        <v>2.4609999999999999</v>
      </c>
      <c r="F164" s="19">
        <f t="shared" si="6"/>
        <v>556.95060534434458</v>
      </c>
      <c r="G164" s="20">
        <f t="shared" si="7"/>
        <v>7.6030505178525942E-4</v>
      </c>
      <c r="H164" s="20" cm="1">
        <f t="array" ref="H164">PRODUCT(G164:G199+1)^(1/3)-1</f>
        <v>0.26453133286964259</v>
      </c>
      <c r="I164" s="21">
        <f t="shared" si="8"/>
        <v>379.70189057111082</v>
      </c>
      <c r="J164" s="26">
        <v>55.56</v>
      </c>
    </row>
    <row r="165" spans="1:10" x14ac:dyDescent="0.3">
      <c r="A165" s="24">
        <v>41090</v>
      </c>
      <c r="B165" s="25">
        <v>7444.6680289800006</v>
      </c>
      <c r="C165" s="25">
        <v>13.377000000000001</v>
      </c>
      <c r="D165" s="25">
        <v>12.351000000000001</v>
      </c>
      <c r="E165" s="25">
        <v>2.4609999999999999</v>
      </c>
      <c r="F165" s="19">
        <f t="shared" si="6"/>
        <v>556.52747469387759</v>
      </c>
      <c r="G165" s="20">
        <f t="shared" si="7"/>
        <v>1.094889760513551E-2</v>
      </c>
      <c r="H165" s="20" cm="1">
        <f t="array" ref="H165">PRODUCT(G165:G200+1)^(1/3)-1</f>
        <v>0.25557083833564098</v>
      </c>
      <c r="I165" s="21">
        <f t="shared" si="8"/>
        <v>377.42947115094114</v>
      </c>
      <c r="J165" s="26">
        <v>55.51</v>
      </c>
    </row>
    <row r="166" spans="1:10" x14ac:dyDescent="0.3">
      <c r="A166" s="24">
        <v>41060</v>
      </c>
      <c r="B166" s="25">
        <v>7162.0063713599993</v>
      </c>
      <c r="C166" s="25">
        <v>13.01</v>
      </c>
      <c r="D166" s="25">
        <v>12.242000000000001</v>
      </c>
      <c r="E166" s="25">
        <v>2.4609999999999999</v>
      </c>
      <c r="F166" s="19">
        <f t="shared" si="6"/>
        <v>550.50010540814753</v>
      </c>
      <c r="G166" s="20">
        <f t="shared" si="7"/>
        <v>5.6957538018124865E-2</v>
      </c>
      <c r="H166" s="20" cm="1">
        <f t="array" ref="H166">PRODUCT(G166:G201+1)^(1/3)-1</f>
        <v>0.21578266216091557</v>
      </c>
      <c r="I166" s="21">
        <f t="shared" si="8"/>
        <v>375.10352305298085</v>
      </c>
      <c r="J166" s="26">
        <v>56.04</v>
      </c>
    </row>
    <row r="167" spans="1:10" x14ac:dyDescent="0.3">
      <c r="A167" s="24">
        <v>41029</v>
      </c>
      <c r="B167" s="25">
        <v>7394.28947272</v>
      </c>
      <c r="C167" s="25">
        <v>14.196999999999999</v>
      </c>
      <c r="D167" s="25">
        <v>12.315</v>
      </c>
      <c r="E167" s="25">
        <v>2.4609999999999999</v>
      </c>
      <c r="F167" s="19">
        <f t="shared" si="6"/>
        <v>520.83464624357259</v>
      </c>
      <c r="G167" s="20">
        <f t="shared" si="7"/>
        <v>3.4866732569380776E-2</v>
      </c>
      <c r="H167" s="20" cm="1">
        <f t="array" ref="H167">PRODUCT(G167:G202+1)^(1/3)-1</f>
        <v>0.16414418403921216</v>
      </c>
      <c r="I167" s="21">
        <f t="shared" si="8"/>
        <v>372.79567328514975</v>
      </c>
      <c r="J167" s="26">
        <v>52.67</v>
      </c>
    </row>
    <row r="168" spans="1:10" x14ac:dyDescent="0.3">
      <c r="A168" s="24">
        <v>40999</v>
      </c>
      <c r="B168" s="25">
        <v>7225.6869225600003</v>
      </c>
      <c r="C168" s="25">
        <v>14.356999999999999</v>
      </c>
      <c r="D168" s="25">
        <v>12.413</v>
      </c>
      <c r="E168" s="25">
        <v>2.4609999999999999</v>
      </c>
      <c r="F168" s="19">
        <f t="shared" si="6"/>
        <v>503.28668402591074</v>
      </c>
      <c r="G168" s="20">
        <f t="shared" si="7"/>
        <v>2.8260777915534385E-2</v>
      </c>
      <c r="H168" s="20" cm="1">
        <f t="array" ref="H168">PRODUCT(G168:G203+1)^(1/3)-1</f>
        <v>0.13712293880765181</v>
      </c>
      <c r="I168" s="21">
        <f t="shared" si="8"/>
        <v>370.82182031237079</v>
      </c>
      <c r="J168" s="26">
        <v>50.88</v>
      </c>
    </row>
    <row r="169" spans="1:10" x14ac:dyDescent="0.3">
      <c r="A169" s="24">
        <v>40968</v>
      </c>
      <c r="B169" s="25">
        <v>6928.2259572600005</v>
      </c>
      <c r="C169" s="25">
        <v>14.154999999999999</v>
      </c>
      <c r="D169" s="25">
        <v>12.465</v>
      </c>
      <c r="E169" s="25">
        <v>2.4609999999999999</v>
      </c>
      <c r="F169" s="19">
        <f t="shared" si="6"/>
        <v>489.45432407347232</v>
      </c>
      <c r="G169" s="20">
        <f t="shared" si="7"/>
        <v>-1.2541982244343219E-2</v>
      </c>
      <c r="H169" s="20" cm="1">
        <f t="array" ref="H169">PRODUCT(G169:G204+1)^(1/3)-1</f>
        <v>6.4548750503858221E-2</v>
      </c>
      <c r="I169" s="21">
        <f t="shared" si="8"/>
        <v>369.03175458651219</v>
      </c>
      <c r="J169" s="26">
        <v>49.11</v>
      </c>
    </row>
    <row r="170" spans="1:10" x14ac:dyDescent="0.3">
      <c r="A170" s="24">
        <v>40939</v>
      </c>
      <c r="B170" s="25">
        <v>6651.40943376</v>
      </c>
      <c r="C170" s="25">
        <v>13.419</v>
      </c>
      <c r="D170" s="25">
        <v>12.366</v>
      </c>
      <c r="E170" s="25">
        <v>2.4609999999999999</v>
      </c>
      <c r="F170" s="19">
        <f t="shared" si="6"/>
        <v>495.67102122065728</v>
      </c>
      <c r="G170" s="20">
        <f t="shared" si="7"/>
        <v>-5.6338870014755682E-2</v>
      </c>
      <c r="H170" s="20" cm="1">
        <f t="array" ref="H170">PRODUCT(G170:G205+1)^(1/3)-1</f>
        <v>5.9558568546606017E-2</v>
      </c>
      <c r="I170" s="21">
        <f t="shared" si="8"/>
        <v>367.3821303469648</v>
      </c>
      <c r="J170" s="26">
        <v>49.52</v>
      </c>
    </row>
    <row r="171" spans="1:10" x14ac:dyDescent="0.3">
      <c r="A171" s="24">
        <v>40908</v>
      </c>
      <c r="B171" s="25">
        <v>6730.2049359600005</v>
      </c>
      <c r="C171" s="25">
        <v>12.813000000000001</v>
      </c>
      <c r="D171" s="25">
        <v>12.564</v>
      </c>
      <c r="E171" s="25">
        <v>2.4609999999999999</v>
      </c>
      <c r="F171" s="19">
        <f t="shared" si="6"/>
        <v>525.26378958557711</v>
      </c>
      <c r="G171" s="20">
        <f t="shared" si="7"/>
        <v>-1.0986110037880525E-4</v>
      </c>
      <c r="H171" s="20" cm="1">
        <f t="array" ref="H171">PRODUCT(G171:G206+1)^(1/3)-1</f>
        <v>8.5583601423160571E-2</v>
      </c>
      <c r="I171" s="21">
        <f t="shared" si="8"/>
        <v>365.60034019594133</v>
      </c>
      <c r="J171" s="26">
        <v>53.02</v>
      </c>
    </row>
    <row r="172" spans="1:10" x14ac:dyDescent="0.3">
      <c r="A172" s="24">
        <v>40877</v>
      </c>
      <c r="B172" s="25">
        <v>6630.60799804</v>
      </c>
      <c r="C172" s="25">
        <v>12.622</v>
      </c>
      <c r="D172" s="25">
        <v>12.680999999999999</v>
      </c>
      <c r="E172" s="25">
        <v>2.4609999999999999</v>
      </c>
      <c r="F172" s="19">
        <f t="shared" si="6"/>
        <v>525.32150198383772</v>
      </c>
      <c r="G172" s="20">
        <f t="shared" si="7"/>
        <v>6.3391503312536068E-2</v>
      </c>
      <c r="H172" s="20" cm="1">
        <f t="array" ref="H172">PRODUCT(G172:G207+1)^(1/3)-1</f>
        <v>7.930497909280243E-2</v>
      </c>
      <c r="I172" s="21">
        <f t="shared" si="8"/>
        <v>363.35155921862247</v>
      </c>
      <c r="J172" s="26">
        <v>52.13</v>
      </c>
    </row>
    <row r="173" spans="1:10" x14ac:dyDescent="0.3">
      <c r="A173" s="24">
        <v>40847</v>
      </c>
      <c r="B173" s="25">
        <v>6385.5181403000006</v>
      </c>
      <c r="C173" s="25">
        <v>12.926</v>
      </c>
      <c r="D173" s="25">
        <v>12.683</v>
      </c>
      <c r="E173" s="25">
        <v>2.4609999999999999</v>
      </c>
      <c r="F173" s="19">
        <f t="shared" si="6"/>
        <v>494.00573574965188</v>
      </c>
      <c r="G173" s="20">
        <f t="shared" si="7"/>
        <v>1.4401317380828615E-2</v>
      </c>
      <c r="H173" s="20" cm="1">
        <f t="array" ref="H173">PRODUCT(G173:G208+1)^(1/3)-1</f>
        <v>5.2354922453652586E-2</v>
      </c>
      <c r="I173" s="21">
        <f t="shared" si="8"/>
        <v>361.0377028934052</v>
      </c>
      <c r="J173" s="26">
        <v>48.7</v>
      </c>
    </row>
    <row r="174" spans="1:10" x14ac:dyDescent="0.3">
      <c r="A174" s="24">
        <v>40816</v>
      </c>
      <c r="B174" s="25">
        <v>5805.4364431200001</v>
      </c>
      <c r="C174" s="25">
        <v>11.920999999999999</v>
      </c>
      <c r="D174" s="25">
        <v>12.673999999999999</v>
      </c>
      <c r="E174" s="25">
        <v>2.4609999999999999</v>
      </c>
      <c r="F174" s="19">
        <f t="shared" si="6"/>
        <v>486.99240358359202</v>
      </c>
      <c r="G174" s="20">
        <f t="shared" si="7"/>
        <v>4.4543468670025677E-2</v>
      </c>
      <c r="H174" s="20" cm="1">
        <f t="array" ref="H174">PRODUCT(G174:G209+1)^(1/3)-1</f>
        <v>4.986988906148615E-2</v>
      </c>
      <c r="I174" s="21">
        <f t="shared" si="8"/>
        <v>359.11062995345958</v>
      </c>
      <c r="J174" s="26">
        <v>49.02</v>
      </c>
    </row>
    <row r="175" spans="1:10" x14ac:dyDescent="0.3">
      <c r="A175" s="24">
        <v>40786</v>
      </c>
      <c r="B175" s="25">
        <v>5989.5941111999991</v>
      </c>
      <c r="C175" s="25">
        <v>12.847</v>
      </c>
      <c r="D175" s="25">
        <v>12.628</v>
      </c>
      <c r="E175" s="25">
        <v>2.4609999999999999</v>
      </c>
      <c r="F175" s="19">
        <f t="shared" si="6"/>
        <v>466.22511957655479</v>
      </c>
      <c r="G175" s="20">
        <f t="shared" si="7"/>
        <v>5.7832747644676497E-2</v>
      </c>
      <c r="H175" s="20" cm="1">
        <f t="array" ref="H175">PRODUCT(G175:G210+1)^(1/3)-1</f>
        <v>3.7218685781381655E-2</v>
      </c>
      <c r="I175" s="21">
        <f t="shared" si="8"/>
        <v>357.23001563536934</v>
      </c>
      <c r="J175" s="26">
        <v>45.8</v>
      </c>
    </row>
    <row r="176" spans="1:10" x14ac:dyDescent="0.3">
      <c r="A176" s="24">
        <v>40755</v>
      </c>
      <c r="B176" s="25">
        <v>6237.2978213599999</v>
      </c>
      <c r="C176" s="25">
        <v>14.151999999999999</v>
      </c>
      <c r="D176" s="25">
        <v>12.487</v>
      </c>
      <c r="E176" s="25">
        <v>2.4609999999999999</v>
      </c>
      <c r="F176" s="19">
        <f t="shared" si="6"/>
        <v>440.73613774448842</v>
      </c>
      <c r="G176" s="20">
        <f t="shared" si="7"/>
        <v>-2.1700766043616704E-2</v>
      </c>
      <c r="H176" s="20" cm="1">
        <f t="array" ref="H176">PRODUCT(G176:G211+1)^(1/3)-1</f>
        <v>2.0718053769717359E-2</v>
      </c>
      <c r="I176" s="21">
        <f t="shared" si="8"/>
        <v>355.60322303923232</v>
      </c>
      <c r="J176" s="26">
        <v>44.21</v>
      </c>
    </row>
    <row r="177" spans="1:10" x14ac:dyDescent="0.3">
      <c r="A177" s="24">
        <v>40724</v>
      </c>
      <c r="B177" s="25">
        <v>6410.7943893000001</v>
      </c>
      <c r="C177" s="25">
        <v>14.23</v>
      </c>
      <c r="D177" s="25">
        <v>12.542</v>
      </c>
      <c r="E177" s="25">
        <v>2.4609999999999999</v>
      </c>
      <c r="F177" s="19">
        <f t="shared" si="6"/>
        <v>450.51260641602249</v>
      </c>
      <c r="G177" s="20">
        <f t="shared" si="7"/>
        <v>5.5394506381210018E-3</v>
      </c>
      <c r="H177" s="20" cm="1">
        <f t="array" ref="H177">PRODUCT(G177:G212+1)^(1/3)-1</f>
        <v>2.4380723608913302E-2</v>
      </c>
      <c r="I177" s="21">
        <f t="shared" si="8"/>
        <v>354.31333039218299</v>
      </c>
      <c r="J177" s="26">
        <v>44.7</v>
      </c>
    </row>
    <row r="178" spans="1:10" x14ac:dyDescent="0.3">
      <c r="A178" s="24">
        <v>40694</v>
      </c>
      <c r="B178" s="25">
        <v>6565.8908189399999</v>
      </c>
      <c r="C178" s="25">
        <v>14.654999999999999</v>
      </c>
      <c r="D178" s="25">
        <v>12.583</v>
      </c>
      <c r="E178" s="25">
        <v>2.4609999999999999</v>
      </c>
      <c r="F178" s="19">
        <f t="shared" si="6"/>
        <v>448.03076212487207</v>
      </c>
      <c r="G178" s="20">
        <f t="shared" si="7"/>
        <v>4.1604542137298584E-2</v>
      </c>
      <c r="H178" s="20" cm="1">
        <f t="array" ref="H178">PRODUCT(G178:G213+1)^(1/3)-1</f>
        <v>2.2871765080589412E-2</v>
      </c>
      <c r="I178" s="21">
        <f t="shared" si="8"/>
        <v>352.83334153027772</v>
      </c>
      <c r="J178" s="26">
        <v>45.06</v>
      </c>
    </row>
    <row r="179" spans="1:10" x14ac:dyDescent="0.3">
      <c r="A179" s="24">
        <v>40663</v>
      </c>
      <c r="B179" s="25">
        <v>6590.961435279999</v>
      </c>
      <c r="C179" s="25">
        <v>15.323</v>
      </c>
      <c r="D179" s="25">
        <v>12.428000000000001</v>
      </c>
      <c r="E179" s="25">
        <v>2.4609999999999999</v>
      </c>
      <c r="F179" s="19">
        <f t="shared" si="6"/>
        <v>430.13518470795526</v>
      </c>
      <c r="G179" s="20">
        <f t="shared" si="7"/>
        <v>2.5862941320604849E-2</v>
      </c>
      <c r="H179" s="20" cm="1">
        <f t="array" ref="H179">PRODUCT(G179:G214+1)^(1/3)-1</f>
        <v>2.3833281242920501E-2</v>
      </c>
      <c r="I179" s="21">
        <f t="shared" si="8"/>
        <v>351.34588183348717</v>
      </c>
      <c r="J179" s="26">
        <v>44.26</v>
      </c>
    </row>
    <row r="180" spans="1:10" x14ac:dyDescent="0.3">
      <c r="A180" s="24">
        <v>40633</v>
      </c>
      <c r="B180" s="25">
        <v>6371.9666036400004</v>
      </c>
      <c r="C180" s="25">
        <v>15.196999999999999</v>
      </c>
      <c r="D180" s="25">
        <v>12.375999999999999</v>
      </c>
      <c r="E180" s="25">
        <v>2.4609999999999999</v>
      </c>
      <c r="F180" s="19">
        <f t="shared" si="6"/>
        <v>419.29108400605389</v>
      </c>
      <c r="G180" s="20">
        <f t="shared" si="7"/>
        <v>6.0369407781090789E-2</v>
      </c>
      <c r="H180" s="20" cm="1">
        <f t="array" ref="H180">PRODUCT(G180:G215+1)^(1/3)-1</f>
        <v>1.7263551513798658E-2</v>
      </c>
      <c r="I180" s="21">
        <f t="shared" si="8"/>
        <v>350.09525797833692</v>
      </c>
      <c r="J180" s="26">
        <v>44.54</v>
      </c>
    </row>
    <row r="181" spans="1:10" x14ac:dyDescent="0.3">
      <c r="A181" s="24">
        <v>40602</v>
      </c>
      <c r="B181" s="25">
        <v>6482.9080052999998</v>
      </c>
      <c r="C181" s="25">
        <v>16.395</v>
      </c>
      <c r="D181" s="25">
        <v>11.78</v>
      </c>
      <c r="E181" s="25">
        <v>2.4609999999999999</v>
      </c>
      <c r="F181" s="19">
        <f t="shared" si="6"/>
        <v>395.41982344007317</v>
      </c>
      <c r="G181" s="20">
        <f t="shared" si="7"/>
        <v>-6.6606549447456587E-5</v>
      </c>
      <c r="H181" s="20" cm="1">
        <f t="array" ref="H181">PRODUCT(G181:G216+1)^(1/3)-1</f>
        <v>-6.620689156330628E-3</v>
      </c>
      <c r="I181" s="21">
        <f t="shared" si="8"/>
        <v>348.97919626821238</v>
      </c>
      <c r="J181" s="26">
        <v>45.27</v>
      </c>
    </row>
    <row r="182" spans="1:10" x14ac:dyDescent="0.3">
      <c r="A182" s="24">
        <v>40574</v>
      </c>
      <c r="B182" s="25">
        <v>6377.3602665799999</v>
      </c>
      <c r="C182" s="25">
        <v>16.126999999999999</v>
      </c>
      <c r="D182" s="25">
        <v>11.781000000000001</v>
      </c>
      <c r="E182" s="25">
        <v>2.4609999999999999</v>
      </c>
      <c r="F182" s="19">
        <f t="shared" si="6"/>
        <v>395.44616274446582</v>
      </c>
      <c r="G182" s="20">
        <f t="shared" si="7"/>
        <v>2.8547821559961051E-2</v>
      </c>
      <c r="H182" s="20" cm="1">
        <f t="array" ref="H182">PRODUCT(G182:G217+1)^(1/3)-1</f>
        <v>2.7413919556473765E-3</v>
      </c>
      <c r="I182" s="21">
        <f t="shared" si="8"/>
        <v>348.21787451129666</v>
      </c>
      <c r="J182" s="26">
        <v>45.83</v>
      </c>
    </row>
    <row r="183" spans="1:10" x14ac:dyDescent="0.3">
      <c r="A183" s="24">
        <v>40543</v>
      </c>
      <c r="B183" s="25">
        <v>6125.3819538399994</v>
      </c>
      <c r="C183" s="25">
        <v>15.932</v>
      </c>
      <c r="D183" s="25">
        <v>11.792</v>
      </c>
      <c r="E183" s="25">
        <v>2.4609999999999999</v>
      </c>
      <c r="F183" s="19">
        <f t="shared" si="6"/>
        <v>384.47037119256839</v>
      </c>
      <c r="G183" s="20">
        <f t="shared" si="7"/>
        <v>7.3895766216525161E-5</v>
      </c>
      <c r="H183" s="20" cm="1">
        <f t="array" ref="H183">PRODUCT(G183:G218+1)^(1/3)-1</f>
        <v>-4.2352257781430591E-3</v>
      </c>
      <c r="I183" s="21">
        <f t="shared" si="8"/>
        <v>347.43073637407718</v>
      </c>
      <c r="J183" s="26">
        <v>44.71</v>
      </c>
    </row>
    <row r="184" spans="1:10" x14ac:dyDescent="0.3">
      <c r="A184" s="24">
        <v>40512</v>
      </c>
      <c r="B184" s="25">
        <v>5846.5933665999992</v>
      </c>
      <c r="C184" s="25">
        <v>15.208</v>
      </c>
      <c r="D184" s="25">
        <v>11.757999999999999</v>
      </c>
      <c r="E184" s="25">
        <v>2.4609999999999999</v>
      </c>
      <c r="F184" s="19">
        <f t="shared" si="6"/>
        <v>384.44196255917933</v>
      </c>
      <c r="G184" s="20">
        <f t="shared" si="7"/>
        <v>7.2612304473442357E-2</v>
      </c>
      <c r="H184" s="20" cm="1">
        <f t="array" ref="H184">PRODUCT(G184:G219+1)^(1/3)-1</f>
        <v>-6.8472151545911908E-3</v>
      </c>
      <c r="I184" s="21">
        <f t="shared" si="8"/>
        <v>346.8029459534248</v>
      </c>
      <c r="J184" s="26">
        <v>45.8</v>
      </c>
    </row>
    <row r="185" spans="1:10" x14ac:dyDescent="0.3">
      <c r="A185" s="24">
        <v>40482</v>
      </c>
      <c r="B185" s="25">
        <v>5787.7098607899998</v>
      </c>
      <c r="C185" s="25">
        <v>16.148</v>
      </c>
      <c r="D185" s="25">
        <v>11.311</v>
      </c>
      <c r="E185" s="25">
        <v>2.4609999999999999</v>
      </c>
      <c r="F185" s="19">
        <f t="shared" si="6"/>
        <v>358.41651354904633</v>
      </c>
      <c r="G185" s="20">
        <f t="shared" si="7"/>
        <v>8.2236281879550788E-3</v>
      </c>
      <c r="H185" s="20" cm="1">
        <f t="array" ref="H185">PRODUCT(G185:G220+1)^(1/3)-1</f>
        <v>-2.5944680027300993E-2</v>
      </c>
      <c r="I185" s="21">
        <f t="shared" si="8"/>
        <v>346.15399739125661</v>
      </c>
      <c r="J185" s="26">
        <v>44.33</v>
      </c>
    </row>
    <row r="186" spans="1:10" x14ac:dyDescent="0.3">
      <c r="A186" s="24">
        <v>40451</v>
      </c>
      <c r="B186" s="25">
        <v>5616.0795311100001</v>
      </c>
      <c r="C186" s="25">
        <v>15.798</v>
      </c>
      <c r="D186" s="25">
        <v>11.288</v>
      </c>
      <c r="E186" s="25">
        <v>2.4609999999999999</v>
      </c>
      <c r="F186" s="19">
        <f t="shared" si="6"/>
        <v>355.49307071211547</v>
      </c>
      <c r="G186" s="20">
        <f t="shared" si="7"/>
        <v>-9.3496578028164912E-3</v>
      </c>
      <c r="H186" s="20" cm="1">
        <f t="array" ref="H186">PRODUCT(G186:G221+1)^(1/3)-1</f>
        <v>-2.769227720481382E-2</v>
      </c>
      <c r="I186" s="21">
        <f t="shared" si="8"/>
        <v>345.93886552883924</v>
      </c>
      <c r="J186" s="26">
        <v>44.57</v>
      </c>
    </row>
    <row r="187" spans="1:10" x14ac:dyDescent="0.3">
      <c r="A187" s="24">
        <v>40421</v>
      </c>
      <c r="B187" s="25">
        <v>5413.2247709100002</v>
      </c>
      <c r="C187" s="25">
        <v>15.085000000000001</v>
      </c>
      <c r="D187" s="25">
        <v>11.113</v>
      </c>
      <c r="E187" s="25">
        <v>2.4609999999999999</v>
      </c>
      <c r="F187" s="19">
        <f t="shared" si="6"/>
        <v>358.84817838316206</v>
      </c>
      <c r="G187" s="20">
        <f t="shared" si="7"/>
        <v>7.5572053610176493E-2</v>
      </c>
      <c r="H187" s="20" cm="1">
        <f t="array" ref="H187">PRODUCT(G187:G222+1)^(1/3)-1</f>
        <v>-1.4973374612847867E-2</v>
      </c>
      <c r="I187" s="21">
        <f t="shared" si="8"/>
        <v>345.76825472199505</v>
      </c>
      <c r="J187" s="26">
        <v>47.07</v>
      </c>
    </row>
    <row r="188" spans="1:10" x14ac:dyDescent="0.3">
      <c r="A188" s="24">
        <v>40390</v>
      </c>
      <c r="B188" s="25">
        <v>5530.6627139399998</v>
      </c>
      <c r="C188" s="25">
        <v>16.577000000000002</v>
      </c>
      <c r="D188" s="25">
        <v>10.590999999999999</v>
      </c>
      <c r="E188" s="25">
        <v>2.4609999999999999</v>
      </c>
      <c r="F188" s="19">
        <f t="shared" si="6"/>
        <v>333.6347176171804</v>
      </c>
      <c r="G188" s="20">
        <f t="shared" si="7"/>
        <v>2.6792681771952154E-2</v>
      </c>
      <c r="H188" s="20" cm="1">
        <f t="array" ref="H188">PRODUCT(G188:G223+1)^(1/3)-1</f>
        <v>-3.4155369219945331E-2</v>
      </c>
      <c r="I188" s="21">
        <f t="shared" si="8"/>
        <v>345.53043792815566</v>
      </c>
      <c r="J188" s="26">
        <v>46.41</v>
      </c>
    </row>
    <row r="189" spans="1:10" x14ac:dyDescent="0.3">
      <c r="A189" s="24">
        <v>40359</v>
      </c>
      <c r="B189" s="25">
        <v>5118.9314402500004</v>
      </c>
      <c r="C189" s="25">
        <v>15.754</v>
      </c>
      <c r="D189" s="25">
        <v>10.566000000000001</v>
      </c>
      <c r="E189" s="25">
        <v>2.4609999999999999</v>
      </c>
      <c r="F189" s="19">
        <f t="shared" si="6"/>
        <v>324.92899836549452</v>
      </c>
      <c r="G189" s="20">
        <f t="shared" si="7"/>
        <v>5.5481646134116547E-2</v>
      </c>
      <c r="H189" s="20" cm="1">
        <f t="array" ref="H189">PRODUCT(G189:G224+1)^(1/3)-1</f>
        <v>-4.2119448778675239E-2</v>
      </c>
      <c r="I189" s="21">
        <f t="shared" si="8"/>
        <v>345.75072904502554</v>
      </c>
      <c r="J189" s="26">
        <v>46.45</v>
      </c>
    </row>
    <row r="190" spans="1:10" x14ac:dyDescent="0.3">
      <c r="A190" s="24">
        <v>40329</v>
      </c>
      <c r="B190" s="25">
        <v>5272.5302949500001</v>
      </c>
      <c r="C190" s="25">
        <v>17.126999999999999</v>
      </c>
      <c r="D190" s="25">
        <v>10.185</v>
      </c>
      <c r="E190" s="25">
        <v>2.4609999999999999</v>
      </c>
      <c r="F190" s="19">
        <f t="shared" si="6"/>
        <v>307.84902755590588</v>
      </c>
      <c r="G190" s="20">
        <f t="shared" si="7"/>
        <v>0.12419143829481594</v>
      </c>
      <c r="H190" s="20" cm="1">
        <f t="array" ref="H190">PRODUCT(G190:G225+1)^(1/3)-1</f>
        <v>-5.1892779249182563E-2</v>
      </c>
      <c r="I190" s="21">
        <f t="shared" si="8"/>
        <v>346.14359188803553</v>
      </c>
      <c r="J190" s="26">
        <v>46.37</v>
      </c>
    </row>
    <row r="191" spans="1:10" x14ac:dyDescent="0.3">
      <c r="A191" s="24">
        <v>40298</v>
      </c>
      <c r="B191" s="25">
        <v>5562.2461039199998</v>
      </c>
      <c r="C191" s="25">
        <v>20.312000000000001</v>
      </c>
      <c r="D191" s="25">
        <v>9.3770000000000007</v>
      </c>
      <c r="E191" s="25">
        <v>2.4609999999999999</v>
      </c>
      <c r="F191" s="19">
        <f t="shared" si="6"/>
        <v>273.84039503347771</v>
      </c>
      <c r="G191" s="20">
        <f t="shared" si="7"/>
        <v>2.802662261907618E-2</v>
      </c>
      <c r="H191" s="20" cm="1">
        <f t="array" ref="H191">PRODUCT(G191:G226+1)^(1/3)-1</f>
        <v>-9.2907433568889641E-2</v>
      </c>
      <c r="I191" s="21">
        <f t="shared" si="8"/>
        <v>346.88002581749964</v>
      </c>
      <c r="J191" s="26">
        <v>44.28</v>
      </c>
    </row>
    <row r="192" spans="1:10" x14ac:dyDescent="0.3">
      <c r="A192" s="24">
        <v>40268</v>
      </c>
      <c r="B192" s="25">
        <v>5621.8403395599998</v>
      </c>
      <c r="C192" s="25">
        <v>21.105</v>
      </c>
      <c r="D192" s="25">
        <v>9.0820000000000007</v>
      </c>
      <c r="E192" s="25">
        <v>2.4609999999999999</v>
      </c>
      <c r="F192" s="19">
        <f t="shared" si="6"/>
        <v>266.37480879222932</v>
      </c>
      <c r="G192" s="20">
        <f t="shared" si="7"/>
        <v>0.28645474990056186</v>
      </c>
      <c r="H192" s="20" cm="1">
        <f t="array" ref="H192">PRODUCT(G192:G227+1)^(1/3)-1</f>
        <v>-0.1101960837862026</v>
      </c>
      <c r="I192" s="21">
        <f t="shared" si="8"/>
        <v>348.31217544071581</v>
      </c>
      <c r="J192" s="26">
        <v>44.83</v>
      </c>
    </row>
    <row r="193" spans="1:10" x14ac:dyDescent="0.3">
      <c r="A193" s="24">
        <v>40237</v>
      </c>
      <c r="B193" s="25">
        <v>5432.8706342999994</v>
      </c>
      <c r="C193" s="25">
        <v>26.238</v>
      </c>
      <c r="D193" s="25">
        <v>6.9480000000000004</v>
      </c>
      <c r="E193" s="25">
        <v>2.4609999999999999</v>
      </c>
      <c r="F193" s="19">
        <f t="shared" si="6"/>
        <v>207.06115688314657</v>
      </c>
      <c r="G193" s="20">
        <f t="shared" si="7"/>
        <v>1.2296383842424152E-2</v>
      </c>
      <c r="H193" s="20" cm="1">
        <f t="array" ref="H193">PRODUCT(G193:G228+1)^(1/3)-1</f>
        <v>-0.1770588522972828</v>
      </c>
      <c r="I193" s="21">
        <f t="shared" si="8"/>
        <v>349.95092277368553</v>
      </c>
      <c r="J193" s="26">
        <v>46.11</v>
      </c>
    </row>
    <row r="194" spans="1:10" x14ac:dyDescent="0.3">
      <c r="A194" s="24">
        <v>40209</v>
      </c>
      <c r="B194" s="25">
        <v>5366.8774491500008</v>
      </c>
      <c r="C194" s="25">
        <v>26.238</v>
      </c>
      <c r="D194" s="25">
        <v>6.9480000000000004</v>
      </c>
      <c r="E194" s="25">
        <v>2.4609999999999999</v>
      </c>
      <c r="F194" s="19">
        <f t="shared" ref="F194:F242" si="9">B194/C194</f>
        <v>204.54598098749909</v>
      </c>
      <c r="G194" s="20">
        <f t="shared" ref="G194:G241" si="10">F194/F195-1</f>
        <v>-1.6759568501091948E-2</v>
      </c>
      <c r="H194" s="20" cm="1">
        <f t="array" ref="H194">PRODUCT(G194:G229+1)^(1/3)-1</f>
        <v>-0.17773303417607522</v>
      </c>
      <c r="I194" s="21">
        <f t="shared" si="8"/>
        <v>352.86704044492103</v>
      </c>
      <c r="J194" s="26">
        <v>46.13</v>
      </c>
    </row>
    <row r="195" spans="1:10" x14ac:dyDescent="0.3">
      <c r="A195" s="24">
        <v>40178</v>
      </c>
      <c r="B195" s="25">
        <v>5643.2980667699994</v>
      </c>
      <c r="C195" s="25">
        <v>27.126999999999999</v>
      </c>
      <c r="D195" s="25">
        <v>7.0110000000000001</v>
      </c>
      <c r="E195" s="25">
        <v>2.4609999999999999</v>
      </c>
      <c r="F195" s="19">
        <f t="shared" si="9"/>
        <v>208.03251619309174</v>
      </c>
      <c r="G195" s="20">
        <f t="shared" si="10"/>
        <v>-3.3362129462242152E-2</v>
      </c>
      <c r="H195" s="20" cm="1">
        <f t="array" ref="H195">PRODUCT(G195:G230+1)^(1/3)-1</f>
        <v>-0.17401513676317204</v>
      </c>
      <c r="I195" s="21">
        <f t="shared" si="8"/>
        <v>355.95706251695066</v>
      </c>
      <c r="J195" s="26">
        <v>46.41</v>
      </c>
    </row>
    <row r="196" spans="1:10" x14ac:dyDescent="0.3">
      <c r="A196" s="24">
        <v>40147</v>
      </c>
      <c r="B196" s="25">
        <v>5544.3034517000006</v>
      </c>
      <c r="C196" s="25">
        <v>25.762</v>
      </c>
      <c r="D196" s="25">
        <v>7.1379999999999999</v>
      </c>
      <c r="E196" s="25">
        <v>2.4609999999999999</v>
      </c>
      <c r="F196" s="19">
        <f t="shared" si="9"/>
        <v>215.2124622195482</v>
      </c>
      <c r="G196" s="20">
        <f t="shared" si="10"/>
        <v>-4.7801969055580651E-2</v>
      </c>
      <c r="H196" s="20" cm="1">
        <f t="array" ref="H196">PRODUCT(G196:G231+1)^(1/3)-1</f>
        <v>-0.16684756168628156</v>
      </c>
      <c r="I196" s="21">
        <f t="shared" si="8"/>
        <v>359.10439328979874</v>
      </c>
      <c r="J196" s="26">
        <v>46.54</v>
      </c>
    </row>
    <row r="197" spans="1:10" x14ac:dyDescent="0.3">
      <c r="A197" s="24">
        <v>40117</v>
      </c>
      <c r="B197" s="25">
        <v>5369.9259226599997</v>
      </c>
      <c r="C197" s="25">
        <v>23.759</v>
      </c>
      <c r="D197" s="25">
        <v>7.585</v>
      </c>
      <c r="E197" s="25">
        <v>2.4609999999999999</v>
      </c>
      <c r="F197" s="19">
        <f t="shared" si="9"/>
        <v>226.01649575571361</v>
      </c>
      <c r="G197" s="20">
        <f t="shared" si="10"/>
        <v>-1.366015359032291E-2</v>
      </c>
      <c r="H197" s="20" cm="1">
        <f t="array" ref="H197">PRODUCT(G197:G232+1)^(1/3)-1</f>
        <v>-0.14701816642903631</v>
      </c>
      <c r="I197" s="21">
        <f t="shared" si="8"/>
        <v>362.23247874784755</v>
      </c>
      <c r="J197" s="26">
        <v>46.93</v>
      </c>
    </row>
    <row r="198" spans="1:10" x14ac:dyDescent="0.3">
      <c r="A198" s="24">
        <v>40086</v>
      </c>
      <c r="B198" s="25">
        <v>5548.3284302600005</v>
      </c>
      <c r="C198" s="25">
        <v>24.213000000000001</v>
      </c>
      <c r="D198" s="25">
        <v>7.609</v>
      </c>
      <c r="E198" s="25">
        <v>2.4609999999999999</v>
      </c>
      <c r="F198" s="19">
        <f t="shared" si="9"/>
        <v>229.14667452442905</v>
      </c>
      <c r="G198" s="20">
        <f t="shared" si="10"/>
        <v>-0.12869334158640655</v>
      </c>
      <c r="H198" s="20" cm="1">
        <f t="array" ref="H198">PRODUCT(G198:G233+1)^(1/3)-1</f>
        <v>-0.14700417390513232</v>
      </c>
      <c r="I198" s="21">
        <f t="shared" si="8"/>
        <v>365.25950059211721</v>
      </c>
      <c r="J198" s="26">
        <v>47.74</v>
      </c>
    </row>
    <row r="199" spans="1:10" x14ac:dyDescent="0.3">
      <c r="A199" s="24">
        <v>40056</v>
      </c>
      <c r="B199" s="25">
        <v>5410.5342699599996</v>
      </c>
      <c r="C199" s="25">
        <v>20.573</v>
      </c>
      <c r="D199" s="25">
        <v>8.8510000000000009</v>
      </c>
      <c r="E199" s="25">
        <v>2.4609999999999999</v>
      </c>
      <c r="F199" s="19">
        <f t="shared" si="9"/>
        <v>262.99199290137557</v>
      </c>
      <c r="G199" s="20">
        <f t="shared" si="10"/>
        <v>-4.5195119190308941E-2</v>
      </c>
      <c r="H199" s="20" cm="1">
        <f t="array" ref="H199">PRODUCT(G199:G234+1)^(1/3)-1</f>
        <v>-0.10149133072849215</v>
      </c>
      <c r="I199" s="21">
        <f t="shared" si="8"/>
        <v>368.35297391183741</v>
      </c>
      <c r="J199" s="26">
        <v>48.69</v>
      </c>
    </row>
    <row r="200" spans="1:10" x14ac:dyDescent="0.3">
      <c r="A200" s="24">
        <v>40025</v>
      </c>
      <c r="B200" s="25">
        <v>5131.4576687099998</v>
      </c>
      <c r="C200" s="25">
        <v>18.63</v>
      </c>
      <c r="D200" s="25">
        <v>9.5969999999999995</v>
      </c>
      <c r="E200" s="25">
        <v>2.4609999999999999</v>
      </c>
      <c r="F200" s="19">
        <f t="shared" si="9"/>
        <v>275.44056192753624</v>
      </c>
      <c r="G200" s="20">
        <f t="shared" si="10"/>
        <v>-2.0363524575022218E-2</v>
      </c>
      <c r="H200" s="20" cm="1">
        <f t="array" ref="H200">PRODUCT(G200:G235+1)^(1/3)-1</f>
        <v>-8.1681377159007029E-2</v>
      </c>
      <c r="I200" s="21">
        <f t="shared" si="8"/>
        <v>370.80322928417371</v>
      </c>
      <c r="J200" s="26">
        <v>47.83</v>
      </c>
    </row>
    <row r="201" spans="1:10" x14ac:dyDescent="0.3">
      <c r="A201" s="24">
        <v>39994</v>
      </c>
      <c r="B201" s="25">
        <v>4708.4074202499996</v>
      </c>
      <c r="C201" s="25">
        <v>16.745999999999999</v>
      </c>
      <c r="D201" s="25">
        <v>9.99</v>
      </c>
      <c r="E201" s="25">
        <v>2.4609999999999999</v>
      </c>
      <c r="F201" s="19">
        <f t="shared" si="9"/>
        <v>281.16609460468169</v>
      </c>
      <c r="G201" s="20">
        <f t="shared" si="10"/>
        <v>-8.2146476493346721E-2</v>
      </c>
      <c r="H201" s="20" cm="1">
        <f t="array" ref="H201">PRODUCT(G201:G236+1)^(1/3)-1</f>
        <v>-6.3688175584966644E-2</v>
      </c>
      <c r="I201" s="21">
        <f t="shared" si="8"/>
        <v>373.07376898314135</v>
      </c>
      <c r="J201" s="26">
        <v>47.75</v>
      </c>
    </row>
    <row r="202" spans="1:10" x14ac:dyDescent="0.3">
      <c r="A202" s="24">
        <v>39964</v>
      </c>
      <c r="B202" s="25">
        <v>4672.4519012800001</v>
      </c>
      <c r="C202" s="25">
        <v>15.253</v>
      </c>
      <c r="D202" s="25">
        <v>10.866</v>
      </c>
      <c r="E202" s="25">
        <v>2.4609999999999999</v>
      </c>
      <c r="F202" s="19">
        <f t="shared" si="9"/>
        <v>306.33002696387598</v>
      </c>
      <c r="G202" s="20">
        <f t="shared" si="10"/>
        <v>-7.2081098097912299E-2</v>
      </c>
      <c r="H202" s="20" cm="1">
        <f t="array" ref="H202">PRODUCT(G202:G237+1)^(1/3)-1</f>
        <v>-3.9540792559979665E-2</v>
      </c>
      <c r="I202" s="21">
        <f t="shared" si="8"/>
        <v>375.31541957773788</v>
      </c>
      <c r="J202" s="26">
        <v>47.12</v>
      </c>
    </row>
    <row r="203" spans="1:10" x14ac:dyDescent="0.3">
      <c r="A203" s="24">
        <v>39933</v>
      </c>
      <c r="B203" s="25">
        <v>4484.4297036599992</v>
      </c>
      <c r="C203" s="25">
        <v>13.584</v>
      </c>
      <c r="D203" s="25">
        <v>11.515000000000001</v>
      </c>
      <c r="E203" s="25">
        <v>2.4609999999999999</v>
      </c>
      <c r="F203" s="19">
        <f t="shared" si="9"/>
        <v>330.12586157685507</v>
      </c>
      <c r="G203" s="20">
        <f t="shared" si="10"/>
        <v>-3.5535228134793373E-2</v>
      </c>
      <c r="H203" s="20" cm="1">
        <f t="array" ref="H203">PRODUCT(G203:G238+1)^(1/3)-1</f>
        <v>5.1483509937222394E-5</v>
      </c>
      <c r="I203" s="21">
        <f t="shared" si="8"/>
        <v>377.04005439308446</v>
      </c>
      <c r="J203" s="26">
        <v>49.73</v>
      </c>
    </row>
    <row r="204" spans="1:10" x14ac:dyDescent="0.3">
      <c r="A204" s="24">
        <v>39903</v>
      </c>
      <c r="B204" s="25">
        <v>4078.71793901</v>
      </c>
      <c r="C204" s="25">
        <v>11.916</v>
      </c>
      <c r="D204" s="25">
        <v>11.920999999999999</v>
      </c>
      <c r="E204" s="25">
        <v>2.4609999999999999</v>
      </c>
      <c r="F204" s="19">
        <f t="shared" si="9"/>
        <v>342.28918588536419</v>
      </c>
      <c r="G204" s="20">
        <f t="shared" si="10"/>
        <v>-0.15632015837507329</v>
      </c>
      <c r="H204" s="20" cm="1">
        <f t="array" ref="H204">PRODUCT(G204:G239+1)^(1/3)-1</f>
        <v>2.4458774525027982E-2</v>
      </c>
      <c r="I204" s="21">
        <f t="shared" si="8"/>
        <v>378.24298241401334</v>
      </c>
      <c r="J204" s="26">
        <v>50.57</v>
      </c>
    </row>
    <row r="205" spans="1:10" x14ac:dyDescent="0.3">
      <c r="A205" s="24">
        <v>39872</v>
      </c>
      <c r="B205" s="25">
        <v>3801.0951836699996</v>
      </c>
      <c r="C205" s="25">
        <v>9.3689999999999998</v>
      </c>
      <c r="D205" s="25">
        <v>13.308</v>
      </c>
      <c r="E205" s="25">
        <v>2.4609999999999999</v>
      </c>
      <c r="F205" s="19">
        <f t="shared" si="9"/>
        <v>405.70980720140886</v>
      </c>
      <c r="G205" s="20">
        <f t="shared" si="10"/>
        <v>-2.6363423480296411E-2</v>
      </c>
      <c r="H205" s="20" cm="1">
        <f t="array" ref="H205">PRODUCT(G205:G240+1)^(1/3)-1</f>
        <v>0.10318555193862244</v>
      </c>
      <c r="I205" s="21">
        <f t="shared" si="8"/>
        <v>379.18913495424101</v>
      </c>
      <c r="J205" s="26">
        <v>51.01</v>
      </c>
    </row>
    <row r="206" spans="1:10" x14ac:dyDescent="0.3">
      <c r="A206" s="24">
        <v>39844</v>
      </c>
      <c r="B206" s="25">
        <v>4035.2775025999999</v>
      </c>
      <c r="C206" s="25">
        <v>9.6839999999999993</v>
      </c>
      <c r="D206" s="25">
        <v>13.95</v>
      </c>
      <c r="E206" s="25">
        <v>2.4609999999999999</v>
      </c>
      <c r="F206" s="19">
        <f t="shared" si="9"/>
        <v>416.69532244940109</v>
      </c>
      <c r="G206" s="20">
        <f t="shared" si="10"/>
        <v>1.4918072037873209E-2</v>
      </c>
      <c r="H206" s="20" cm="1">
        <f t="array" ref="H206">PRODUCT(G206:G241+1)^(1/3)-1</f>
        <v>0.11618728999902128</v>
      </c>
      <c r="I206" s="21">
        <f t="shared" si="8"/>
        <v>378.4723600286419</v>
      </c>
      <c r="J206" s="26">
        <v>48.85</v>
      </c>
    </row>
    <row r="207" spans="1:10" x14ac:dyDescent="0.3">
      <c r="A207" s="24">
        <v>39813</v>
      </c>
      <c r="B207" s="25">
        <v>4391.4610368200001</v>
      </c>
      <c r="C207" s="25">
        <v>10.696</v>
      </c>
      <c r="D207" s="25">
        <v>13.464</v>
      </c>
      <c r="E207" s="25">
        <v>2.4609999999999999</v>
      </c>
      <c r="F207" s="19">
        <f t="shared" si="9"/>
        <v>410.57040359199704</v>
      </c>
      <c r="G207" s="20">
        <f t="shared" si="10"/>
        <v>-1.7358721320380188E-2</v>
      </c>
      <c r="H207" s="20" t="e" cm="1">
        <f t="array" ref="H207">PRODUCT(G207:G242+1)^(1/3)-1</f>
        <v>#REF!</v>
      </c>
      <c r="I207" s="21">
        <f t="shared" si="8"/>
        <v>377.41061107250971</v>
      </c>
      <c r="J207" s="26">
        <v>48.62</v>
      </c>
    </row>
    <row r="208" spans="1:10" x14ac:dyDescent="0.3">
      <c r="A208" s="24">
        <v>39782</v>
      </c>
      <c r="B208" s="25">
        <v>4321.5462005199997</v>
      </c>
      <c r="C208" s="25">
        <v>10.343</v>
      </c>
      <c r="D208" s="25">
        <v>13.782</v>
      </c>
      <c r="E208" s="25">
        <v>2.4609999999999999</v>
      </c>
      <c r="F208" s="19">
        <f t="shared" si="9"/>
        <v>417.82328149666438</v>
      </c>
      <c r="G208" s="20">
        <f t="shared" si="10"/>
        <v>-1.4294103055229934E-2</v>
      </c>
      <c r="H208" s="20" t="e" cm="1">
        <f t="array" ref="H208">PRODUCT(G208:G242+1)^(1/3)-1</f>
        <v>#REF!</v>
      </c>
      <c r="I208" s="21">
        <f t="shared" si="8"/>
        <v>376.46318842909579</v>
      </c>
      <c r="J208" s="26">
        <v>49.58</v>
      </c>
    </row>
    <row r="209" spans="1:10" x14ac:dyDescent="0.3">
      <c r="A209" s="24">
        <v>39752</v>
      </c>
      <c r="B209" s="25">
        <v>4602.0901176200005</v>
      </c>
      <c r="C209" s="25">
        <v>10.856999999999999</v>
      </c>
      <c r="D209" s="25">
        <v>13.891</v>
      </c>
      <c r="E209" s="25">
        <v>2.4609999999999999</v>
      </c>
      <c r="F209" s="19">
        <f t="shared" si="9"/>
        <v>423.88229875840477</v>
      </c>
      <c r="G209" s="20">
        <f t="shared" si="10"/>
        <v>7.232044622228484E-3</v>
      </c>
      <c r="H209" s="20" t="e" cm="1">
        <f t="array" ref="H209">PRODUCT(G209:G242+1)^(1/3)-1</f>
        <v>#REF!</v>
      </c>
      <c r="I209" s="21">
        <f t="shared" si="8"/>
        <v>375.24671510357911</v>
      </c>
      <c r="J209" s="26">
        <v>49.33</v>
      </c>
    </row>
    <row r="210" spans="1:10" x14ac:dyDescent="0.3">
      <c r="A210" s="24">
        <v>39721</v>
      </c>
      <c r="B210" s="25">
        <v>5447.3370902200004</v>
      </c>
      <c r="C210" s="25">
        <v>12.944000000000001</v>
      </c>
      <c r="D210" s="25">
        <v>14.167999999999999</v>
      </c>
      <c r="E210" s="25">
        <v>2.4609999999999999</v>
      </c>
      <c r="F210" s="19">
        <f t="shared" si="9"/>
        <v>420.83877396631647</v>
      </c>
      <c r="G210" s="20">
        <f t="shared" si="10"/>
        <v>7.2356157799720044E-3</v>
      </c>
      <c r="H210" s="20" t="e" cm="1">
        <f t="array" ref="H210">PRODUCT(G210:G242+1)^(1/3)-1</f>
        <v>#REF!</v>
      </c>
      <c r="I210" s="21">
        <f t="shared" si="8"/>
        <v>373.77290953828134</v>
      </c>
      <c r="J210" s="26">
        <v>46.82</v>
      </c>
    </row>
    <row r="211" spans="1:10" x14ac:dyDescent="0.3">
      <c r="A211" s="24">
        <v>39691</v>
      </c>
      <c r="B211" s="25">
        <v>5833.1238801499994</v>
      </c>
      <c r="C211" s="25">
        <v>13.961</v>
      </c>
      <c r="D211" s="25">
        <v>14.802</v>
      </c>
      <c r="E211" s="25">
        <v>2.4609999999999999</v>
      </c>
      <c r="F211" s="19">
        <f t="shared" si="9"/>
        <v>417.81562066829019</v>
      </c>
      <c r="G211" s="20">
        <f t="shared" si="10"/>
        <v>8.1459277700830501E-3</v>
      </c>
      <c r="H211" s="20" t="e" cm="1">
        <f t="array" ref="H211">PRODUCT(G211:G242+1)^(1/3)-1</f>
        <v>#REF!</v>
      </c>
      <c r="I211" s="21">
        <f t="shared" si="8"/>
        <v>372.30210127490528</v>
      </c>
      <c r="J211" s="26">
        <v>43.87</v>
      </c>
    </row>
    <row r="212" spans="1:10" x14ac:dyDescent="0.3">
      <c r="A212" s="24">
        <v>39660</v>
      </c>
      <c r="B212" s="25">
        <v>5772.7295423999994</v>
      </c>
      <c r="C212" s="25">
        <v>13.929</v>
      </c>
      <c r="D212" s="25">
        <v>14.811999999999999</v>
      </c>
      <c r="E212" s="25">
        <v>2.4609999999999999</v>
      </c>
      <c r="F212" s="19">
        <f t="shared" si="9"/>
        <v>414.43962541460257</v>
      </c>
      <c r="G212" s="20">
        <f t="shared" si="10"/>
        <v>-1.1131559073004005E-2</v>
      </c>
      <c r="H212" s="20" t="e" cm="1">
        <f t="array" ref="H212">PRODUCT(G212:G242+1)^(1/3)-1</f>
        <v>#REF!</v>
      </c>
      <c r="I212" s="21">
        <f t="shared" ref="I212:I242" si="11">AVERAGE(F212:F306)</f>
        <v>370.83392322995735</v>
      </c>
      <c r="J212" s="26">
        <v>42.48</v>
      </c>
    </row>
    <row r="213" spans="1:10" x14ac:dyDescent="0.3">
      <c r="A213" s="24">
        <v>39629</v>
      </c>
      <c r="B213" s="25">
        <v>5989.4283624300006</v>
      </c>
      <c r="C213" s="25">
        <v>14.291</v>
      </c>
      <c r="D213" s="25">
        <v>14.824</v>
      </c>
      <c r="E213" s="25">
        <v>2.4609999999999999</v>
      </c>
      <c r="F213" s="19">
        <f t="shared" si="9"/>
        <v>419.10491655097616</v>
      </c>
      <c r="G213" s="20">
        <f t="shared" si="10"/>
        <v>1.1023795882856291E-3</v>
      </c>
      <c r="H213" s="20" t="e" cm="1">
        <f t="array" ref="H213">PRODUCT(G213:G242+1)^(1/3)-1</f>
        <v>#REF!</v>
      </c>
      <c r="I213" s="21">
        <f t="shared" si="11"/>
        <v>369.38039982380258</v>
      </c>
      <c r="J213" s="26">
        <v>42.93</v>
      </c>
    </row>
    <row r="214" spans="1:10" x14ac:dyDescent="0.3">
      <c r="A214" s="24">
        <v>39599</v>
      </c>
      <c r="B214" s="25">
        <v>6408.17471664</v>
      </c>
      <c r="C214" s="25">
        <v>15.307</v>
      </c>
      <c r="D214" s="25">
        <v>14.997</v>
      </c>
      <c r="E214" s="25">
        <v>2.4609999999999999</v>
      </c>
      <c r="F214" s="19">
        <f t="shared" si="9"/>
        <v>418.64341259815768</v>
      </c>
      <c r="G214" s="20">
        <f t="shared" si="10"/>
        <v>4.4544680019729554E-2</v>
      </c>
      <c r="H214" s="20" t="e" cm="1">
        <f t="array" ref="H214">PRODUCT(G214:G242+1)^(1/3)-1</f>
        <v>#REF!</v>
      </c>
      <c r="I214" s="21">
        <f t="shared" si="11"/>
        <v>367.66576131596901</v>
      </c>
      <c r="J214" s="26">
        <v>42.16</v>
      </c>
    </row>
    <row r="215" spans="1:10" x14ac:dyDescent="0.3">
      <c r="A215" s="24">
        <v>39568</v>
      </c>
      <c r="B215" s="25">
        <v>6055.1403865400007</v>
      </c>
      <c r="C215" s="25">
        <v>15.108000000000001</v>
      </c>
      <c r="D215" s="25">
        <v>15.023999999999999</v>
      </c>
      <c r="E215" s="25">
        <v>2.4609999999999999</v>
      </c>
      <c r="F215" s="19">
        <f t="shared" si="9"/>
        <v>400.79033535477896</v>
      </c>
      <c r="G215" s="20">
        <f t="shared" si="10"/>
        <v>6.2411299099787154E-3</v>
      </c>
      <c r="H215" s="20" t="e" cm="1">
        <f t="array" ref="H215">PRODUCT(G215:G242+1)^(1/3)-1</f>
        <v>#REF!</v>
      </c>
      <c r="I215" s="21">
        <f t="shared" si="11"/>
        <v>365.8451309130337</v>
      </c>
      <c r="J215" s="26">
        <v>40.46</v>
      </c>
    </row>
    <row r="216" spans="1:10" x14ac:dyDescent="0.3">
      <c r="A216" s="24">
        <v>39538</v>
      </c>
      <c r="B216" s="25">
        <v>5674.24541469</v>
      </c>
      <c r="C216" s="25">
        <v>14.246</v>
      </c>
      <c r="D216" s="25">
        <v>15.055</v>
      </c>
      <c r="E216" s="25">
        <v>2.4609999999999999</v>
      </c>
      <c r="F216" s="19">
        <f t="shared" si="9"/>
        <v>398.3044654422294</v>
      </c>
      <c r="G216" s="20">
        <f t="shared" si="10"/>
        <v>-1.2579658868554944E-2</v>
      </c>
      <c r="H216" s="20" t="e" cm="1">
        <f t="array" ref="H216">PRODUCT(G216:G242+1)^(1/3)-1</f>
        <v>#REF!</v>
      </c>
      <c r="I216" s="21">
        <f t="shared" si="11"/>
        <v>364.55086408185792</v>
      </c>
      <c r="J216" s="26">
        <v>40.03</v>
      </c>
    </row>
    <row r="217" spans="1:10" x14ac:dyDescent="0.3">
      <c r="A217" s="24">
        <v>39507</v>
      </c>
      <c r="B217" s="25">
        <v>5742.90445344</v>
      </c>
      <c r="C217" s="25">
        <v>14.237</v>
      </c>
      <c r="D217" s="25">
        <v>15.835000000000001</v>
      </c>
      <c r="E217" s="25">
        <v>2.4609999999999999</v>
      </c>
      <c r="F217" s="19">
        <f t="shared" si="9"/>
        <v>403.37883356325068</v>
      </c>
      <c r="G217" s="20">
        <f t="shared" si="10"/>
        <v>2.8472224824020786E-2</v>
      </c>
      <c r="H217" s="20" t="e" cm="1">
        <f t="array" ref="H217">PRODUCT(G217:G242+1)^(1/3)-1</f>
        <v>#REF!</v>
      </c>
      <c r="I217" s="21">
        <f t="shared" si="11"/>
        <v>363.25264864492055</v>
      </c>
      <c r="J217" s="26">
        <v>39.92</v>
      </c>
    </row>
    <row r="218" spans="1:10" x14ac:dyDescent="0.3">
      <c r="A218" s="24">
        <v>39478</v>
      </c>
      <c r="B218" s="25">
        <v>5634.9054081600007</v>
      </c>
      <c r="C218" s="25">
        <v>14.367000000000001</v>
      </c>
      <c r="D218" s="25">
        <v>15.872999999999999</v>
      </c>
      <c r="E218" s="25">
        <v>2.4609999999999999</v>
      </c>
      <c r="F218" s="19">
        <f t="shared" si="9"/>
        <v>392.21169403215703</v>
      </c>
      <c r="G218" s="20">
        <f t="shared" si="10"/>
        <v>7.228341860163523E-3</v>
      </c>
      <c r="H218" s="20" t="e" cm="1">
        <f t="array" ref="H218">PRODUCT(G218:G242+1)^(1/3)-1</f>
        <v>#REF!</v>
      </c>
      <c r="I218" s="21">
        <f t="shared" si="11"/>
        <v>361.64760124818736</v>
      </c>
      <c r="J218" s="26">
        <v>39.28</v>
      </c>
    </row>
    <row r="219" spans="1:10" x14ac:dyDescent="0.3">
      <c r="A219" s="24">
        <v>39447</v>
      </c>
      <c r="B219" s="25">
        <v>6157.9241485299999</v>
      </c>
      <c r="C219" s="25">
        <v>15.814</v>
      </c>
      <c r="D219" s="25">
        <v>15.89</v>
      </c>
      <c r="E219" s="25">
        <v>2.4609999999999999</v>
      </c>
      <c r="F219" s="19">
        <f t="shared" si="9"/>
        <v>389.3969994011635</v>
      </c>
      <c r="G219" s="20">
        <f t="shared" si="10"/>
        <v>-7.7753567004620328E-3</v>
      </c>
      <c r="H219" s="20" t="e" cm="1">
        <f t="array" ref="H219">PRODUCT(G219:G242+1)^(1/3)-1</f>
        <v>#REF!</v>
      </c>
      <c r="I219" s="21">
        <f t="shared" si="11"/>
        <v>360.37409738218867</v>
      </c>
      <c r="J219" s="26">
        <v>39.409999999999997</v>
      </c>
    </row>
    <row r="220" spans="1:10" x14ac:dyDescent="0.3">
      <c r="A220" s="24">
        <v>39416</v>
      </c>
      <c r="B220" s="25">
        <v>6244.24690448</v>
      </c>
      <c r="C220" s="25">
        <v>15.911</v>
      </c>
      <c r="D220" s="25">
        <v>16.077000000000002</v>
      </c>
      <c r="E220" s="25">
        <v>2.4609999999999999</v>
      </c>
      <c r="F220" s="19">
        <f t="shared" si="9"/>
        <v>392.44842589906358</v>
      </c>
      <c r="G220" s="20">
        <f t="shared" si="10"/>
        <v>1.1918296596684197E-2</v>
      </c>
      <c r="H220" s="20" t="e" cm="1">
        <f t="array" ref="H220">PRODUCT(G220:G242+1)^(1/3)-1</f>
        <v>#REF!</v>
      </c>
      <c r="I220" s="21">
        <f t="shared" si="11"/>
        <v>359.11223207701585</v>
      </c>
      <c r="J220" s="26">
        <v>39.520000000000003</v>
      </c>
    </row>
    <row r="221" spans="1:10" x14ac:dyDescent="0.3">
      <c r="A221" s="24">
        <v>39386</v>
      </c>
      <c r="B221" s="25">
        <v>6480.1879464000003</v>
      </c>
      <c r="C221" s="25">
        <v>16.709</v>
      </c>
      <c r="D221" s="25">
        <v>16.113</v>
      </c>
      <c r="E221" s="25">
        <v>2.4609999999999999</v>
      </c>
      <c r="F221" s="19">
        <f t="shared" si="9"/>
        <v>387.82619824046924</v>
      </c>
      <c r="G221" s="20">
        <f t="shared" si="10"/>
        <v>2.8066583525174771E-3</v>
      </c>
      <c r="H221" s="20" t="e" cm="1">
        <f t="array" ref="H221">PRODUCT(G221:G242+1)^(1/3)-1</f>
        <v>#REF!</v>
      </c>
      <c r="I221" s="21">
        <f t="shared" si="11"/>
        <v>357.59695053964992</v>
      </c>
      <c r="J221" s="26">
        <v>39.200000000000003</v>
      </c>
    </row>
    <row r="222" spans="1:10" x14ac:dyDescent="0.3">
      <c r="A222" s="24">
        <v>39355</v>
      </c>
      <c r="B222" s="25">
        <v>6310.0620620999998</v>
      </c>
      <c r="C222" s="25">
        <v>16.315999999999999</v>
      </c>
      <c r="D222" s="25">
        <v>16.100000000000001</v>
      </c>
      <c r="E222" s="25">
        <v>2.4609999999999999</v>
      </c>
      <c r="F222" s="19">
        <f t="shared" si="9"/>
        <v>386.74074908678597</v>
      </c>
      <c r="G222" s="20">
        <f t="shared" si="10"/>
        <v>3.0037644847836331E-2</v>
      </c>
      <c r="H222" s="20" t="e" cm="1">
        <f t="array" ref="H222">PRODUCT(G222:G242+1)^(1/3)-1</f>
        <v>#REF!</v>
      </c>
      <c r="I222" s="21">
        <f t="shared" si="11"/>
        <v>356.15746255389666</v>
      </c>
      <c r="J222" s="26">
        <v>39.659999999999997</v>
      </c>
    </row>
    <row r="223" spans="1:10" x14ac:dyDescent="0.3">
      <c r="A223" s="24">
        <v>39325</v>
      </c>
      <c r="B223" s="25">
        <v>6136.5629059199991</v>
      </c>
      <c r="C223" s="25">
        <v>16.344000000000001</v>
      </c>
      <c r="D223" s="25">
        <v>15.821999999999999</v>
      </c>
      <c r="E223" s="25">
        <v>2.4609999999999999</v>
      </c>
      <c r="F223" s="19">
        <f t="shared" si="9"/>
        <v>375.46273286343603</v>
      </c>
      <c r="G223" s="20">
        <f t="shared" si="10"/>
        <v>1.3952032364727751E-2</v>
      </c>
      <c r="H223" s="20" t="e" cm="1">
        <f t="array" ref="H223">PRODUCT(G223:G242+1)^(1/3)-1</f>
        <v>#REF!</v>
      </c>
      <c r="I223" s="21">
        <f t="shared" si="11"/>
        <v>354.62829822725217</v>
      </c>
      <c r="J223" s="26">
        <v>40.64</v>
      </c>
    </row>
    <row r="224" spans="1:10" x14ac:dyDescent="0.3">
      <c r="A224" s="24">
        <v>39294</v>
      </c>
      <c r="B224" s="25">
        <v>6085.4501543699998</v>
      </c>
      <c r="C224" s="25">
        <v>16.434000000000001</v>
      </c>
      <c r="D224" s="25">
        <v>15.805999999999999</v>
      </c>
      <c r="E224" s="25">
        <v>2.4609999999999999</v>
      </c>
      <c r="F224" s="19">
        <f t="shared" si="9"/>
        <v>370.2963462559328</v>
      </c>
      <c r="G224" s="20">
        <f t="shared" si="10"/>
        <v>1.6016271556649198E-3</v>
      </c>
      <c r="H224" s="20" t="e" cm="1">
        <f t="array" ref="H224">PRODUCT(G224:G242+1)^(1/3)-1</f>
        <v>#REF!</v>
      </c>
      <c r="I224" s="21">
        <f t="shared" si="11"/>
        <v>353.53174903587404</v>
      </c>
      <c r="J224" s="26">
        <v>40.19</v>
      </c>
    </row>
    <row r="225" spans="1:10" x14ac:dyDescent="0.3">
      <c r="A225" s="24">
        <v>39263</v>
      </c>
      <c r="B225" s="25">
        <v>6232.10400183</v>
      </c>
      <c r="C225" s="25">
        <v>16.856999999999999</v>
      </c>
      <c r="D225" s="25">
        <v>15.942</v>
      </c>
      <c r="E225" s="25">
        <v>2.4609999999999999</v>
      </c>
      <c r="F225" s="19">
        <f t="shared" si="9"/>
        <v>369.70421794091476</v>
      </c>
      <c r="G225" s="20">
        <f t="shared" si="10"/>
        <v>2.3502674538835588E-2</v>
      </c>
      <c r="H225" s="20" t="e" cm="1">
        <f t="array" ref="H225">PRODUCT(G225:G242+1)^(1/3)-1</f>
        <v>#REF!</v>
      </c>
      <c r="I225" s="21">
        <f t="shared" si="11"/>
        <v>352.60038252364859</v>
      </c>
      <c r="J225" s="26">
        <v>40.53</v>
      </c>
    </row>
    <row r="226" spans="1:10" x14ac:dyDescent="0.3">
      <c r="A226" s="24">
        <v>39233</v>
      </c>
      <c r="B226" s="25">
        <v>6227.3415359400005</v>
      </c>
      <c r="C226" s="25">
        <v>17.239999999999998</v>
      </c>
      <c r="D226" s="25">
        <v>15.928000000000001</v>
      </c>
      <c r="E226" s="25">
        <v>2.4609999999999999</v>
      </c>
      <c r="F226" s="19">
        <f t="shared" si="9"/>
        <v>361.21470626102092</v>
      </c>
      <c r="G226" s="20">
        <f t="shared" si="10"/>
        <v>-1.5484099180656408E-2</v>
      </c>
      <c r="H226" s="20" t="e" cm="1">
        <f t="array" ref="H226">PRODUCT(G226:G242+1)^(1/3)-1</f>
        <v>#REF!</v>
      </c>
      <c r="I226" s="21">
        <f t="shared" si="11"/>
        <v>351.59427455792706</v>
      </c>
      <c r="J226" s="26">
        <v>40.380000000000003</v>
      </c>
    </row>
    <row r="227" spans="1:10" x14ac:dyDescent="0.3">
      <c r="A227" s="24">
        <v>39202</v>
      </c>
      <c r="B227" s="25">
        <v>6147.3384008999992</v>
      </c>
      <c r="C227" s="25">
        <v>16.754999999999999</v>
      </c>
      <c r="D227" s="25">
        <v>15.986000000000001</v>
      </c>
      <c r="E227" s="25">
        <v>2.4609999999999999</v>
      </c>
      <c r="F227" s="19">
        <f t="shared" si="9"/>
        <v>366.89575654431508</v>
      </c>
      <c r="G227" s="20">
        <f t="shared" si="10"/>
        <v>-2.9640914918496852E-2</v>
      </c>
      <c r="H227" s="20" t="e" cm="1">
        <f t="array" ref="H227">PRODUCT(G227:G242+1)^(1/3)-1</f>
        <v>#REF!</v>
      </c>
      <c r="I227" s="21">
        <f t="shared" si="11"/>
        <v>350.99299757648373</v>
      </c>
      <c r="J227" s="26">
        <v>41.05</v>
      </c>
    </row>
    <row r="228" spans="1:10" x14ac:dyDescent="0.3">
      <c r="A228" s="24">
        <v>39172</v>
      </c>
      <c r="B228" s="25">
        <v>6183.4977327200004</v>
      </c>
      <c r="C228" s="25">
        <v>16.353999999999999</v>
      </c>
      <c r="D228" s="25">
        <v>15.968</v>
      </c>
      <c r="E228" s="25">
        <v>2.4609999999999999</v>
      </c>
      <c r="F228" s="19">
        <f t="shared" si="9"/>
        <v>378.10307770086831</v>
      </c>
      <c r="G228" s="20">
        <f t="shared" si="10"/>
        <v>1.7695631065404394E-2</v>
      </c>
      <c r="H228" s="20" t="e" cm="1">
        <f t="array" ref="H228">PRODUCT(G228:G242+1)^(1/3)-1</f>
        <v>#REF!</v>
      </c>
      <c r="I228" s="21">
        <f t="shared" si="11"/>
        <v>349.93281364529491</v>
      </c>
      <c r="J228" s="26">
        <v>43.12</v>
      </c>
    </row>
    <row r="229" spans="1:10" x14ac:dyDescent="0.3">
      <c r="A229" s="24">
        <v>39141</v>
      </c>
      <c r="B229" s="25">
        <v>6198.2123659899999</v>
      </c>
      <c r="C229" s="25">
        <v>16.683</v>
      </c>
      <c r="D229" s="25">
        <v>15.837</v>
      </c>
      <c r="E229" s="25">
        <v>2.4609999999999999</v>
      </c>
      <c r="F229" s="19">
        <f t="shared" si="9"/>
        <v>371.52864388838935</v>
      </c>
      <c r="G229" s="20">
        <f t="shared" si="10"/>
        <v>9.8104967485048711E-3</v>
      </c>
      <c r="H229" s="20" t="e" cm="1">
        <f t="array" ref="H229">PRODUCT(G229:G242+1)^(1/3)-1</f>
        <v>#REF!</v>
      </c>
      <c r="I229" s="21">
        <f t="shared" si="11"/>
        <v>347.92065192703967</v>
      </c>
      <c r="J229" s="26">
        <v>44.09</v>
      </c>
    </row>
    <row r="230" spans="1:10" x14ac:dyDescent="0.3">
      <c r="A230" s="24">
        <v>39113</v>
      </c>
      <c r="B230" s="25">
        <v>6229.6074546399996</v>
      </c>
      <c r="C230" s="25">
        <v>16.931999999999999</v>
      </c>
      <c r="D230" s="25">
        <v>15.821</v>
      </c>
      <c r="E230" s="25">
        <v>2.4609999999999999</v>
      </c>
      <c r="F230" s="19">
        <f t="shared" si="9"/>
        <v>367.91917402787624</v>
      </c>
      <c r="G230" s="20">
        <f t="shared" si="10"/>
        <v>-3.3619460687496217E-3</v>
      </c>
      <c r="H230" s="20" t="e" cm="1">
        <f t="array" ref="H230">PRODUCT(G230:G242+1)^(1/3)-1</f>
        <v>#REF!</v>
      </c>
      <c r="I230" s="21">
        <f t="shared" si="11"/>
        <v>346.10465254539736</v>
      </c>
      <c r="J230" s="26">
        <v>44.08</v>
      </c>
    </row>
    <row r="231" spans="1:10" x14ac:dyDescent="0.3">
      <c r="A231" s="24">
        <v>39082</v>
      </c>
      <c r="B231" s="25">
        <v>6173.8363713599992</v>
      </c>
      <c r="C231" s="25">
        <v>16.724</v>
      </c>
      <c r="D231" s="25">
        <v>15.872</v>
      </c>
      <c r="E231" s="25">
        <v>2.4609999999999999</v>
      </c>
      <c r="F231" s="19">
        <f t="shared" si="9"/>
        <v>369.16027094953358</v>
      </c>
      <c r="G231" s="20">
        <f t="shared" si="10"/>
        <v>-7.9788102973216146E-3</v>
      </c>
      <c r="H231" s="20" t="e" cm="1">
        <f t="array" ref="H231">PRODUCT(G231:G242+1)^(1/3)-1</f>
        <v>#REF!</v>
      </c>
      <c r="I231" s="21">
        <f t="shared" si="11"/>
        <v>344.28677575519077</v>
      </c>
      <c r="J231" s="26">
        <v>44.12</v>
      </c>
    </row>
    <row r="232" spans="1:10" x14ac:dyDescent="0.3">
      <c r="A232" s="24">
        <v>39051</v>
      </c>
      <c r="B232" s="25">
        <v>6104.7831516000006</v>
      </c>
      <c r="C232" s="25">
        <v>16.405000000000001</v>
      </c>
      <c r="D232" s="25">
        <v>15.920999999999999</v>
      </c>
      <c r="E232" s="25">
        <v>2.4609999999999999</v>
      </c>
      <c r="F232" s="19">
        <f t="shared" si="9"/>
        <v>372.1294210057909</v>
      </c>
      <c r="G232" s="20">
        <f t="shared" si="10"/>
        <v>2.1817216088829472E-2</v>
      </c>
      <c r="H232" s="20" t="e" cm="1">
        <f t="array" ref="H232">PRODUCT(G232:G242+1)^(1/3)-1</f>
        <v>#REF!</v>
      </c>
      <c r="I232" s="21">
        <f t="shared" si="11"/>
        <v>342.02554891934136</v>
      </c>
      <c r="J232" s="26">
        <v>44.6</v>
      </c>
    </row>
    <row r="233" spans="1:10" x14ac:dyDescent="0.3">
      <c r="A233" s="24">
        <v>39021</v>
      </c>
      <c r="B233" s="25">
        <v>5979.5361315999999</v>
      </c>
      <c r="C233" s="25">
        <v>16.419</v>
      </c>
      <c r="D233" s="25">
        <v>15.881</v>
      </c>
      <c r="E233" s="25">
        <v>2.4609999999999999</v>
      </c>
      <c r="F233" s="19">
        <f t="shared" si="9"/>
        <v>364.18394126317071</v>
      </c>
      <c r="G233" s="20">
        <f t="shared" si="10"/>
        <v>-1.3611612309356813E-2</v>
      </c>
      <c r="H233" s="20" t="e" cm="1">
        <f t="array" ref="H233">PRODUCT(G233:G243+1)^(1/3)-1</f>
        <v>#REF!</v>
      </c>
      <c r="I233" s="21">
        <f t="shared" si="11"/>
        <v>339.01516171069647</v>
      </c>
      <c r="J233" s="26">
        <v>44.92</v>
      </c>
    </row>
    <row r="234" spans="1:10" x14ac:dyDescent="0.3">
      <c r="A234" s="24">
        <v>38990</v>
      </c>
      <c r="B234" s="25">
        <v>5890.3680045499996</v>
      </c>
      <c r="C234" s="25">
        <v>15.954000000000001</v>
      </c>
      <c r="D234" s="25">
        <v>15.881</v>
      </c>
      <c r="E234" s="25">
        <v>2.4609999999999999</v>
      </c>
      <c r="F234" s="19">
        <f t="shared" si="9"/>
        <v>369.20947753228029</v>
      </c>
      <c r="G234" s="20">
        <f t="shared" si="10"/>
        <v>1.8350145877129798E-2</v>
      </c>
      <c r="H234" s="20" t="e" cm="1">
        <f t="array" ref="H234">PRODUCT(G234:G244+1)^(1/3)-1</f>
        <v>#REF!</v>
      </c>
      <c r="I234" s="21">
        <f t="shared" si="11"/>
        <v>336.21863064931046</v>
      </c>
      <c r="J234" s="26">
        <v>45.91</v>
      </c>
    </row>
    <row r="235" spans="1:10" x14ac:dyDescent="0.3">
      <c r="A235" s="24">
        <v>38960</v>
      </c>
      <c r="B235" s="25">
        <v>5894.8063389600002</v>
      </c>
      <c r="C235" s="25">
        <v>16.259</v>
      </c>
      <c r="D235" s="25">
        <v>15.538</v>
      </c>
      <c r="E235" s="25">
        <v>2.4609999999999999</v>
      </c>
      <c r="F235" s="19">
        <f t="shared" si="9"/>
        <v>362.55651263669353</v>
      </c>
      <c r="G235" s="20">
        <f t="shared" si="10"/>
        <v>1.9360943846791656E-2</v>
      </c>
      <c r="H235" s="20" t="e" cm="1">
        <f t="array" ref="H235">PRODUCT(G235:G245+1)^(1/3)-1</f>
        <v>#REF!</v>
      </c>
      <c r="I235" s="21">
        <f t="shared" si="11"/>
        <v>332.09477478893928</v>
      </c>
      <c r="J235" s="26">
        <v>46.48</v>
      </c>
    </row>
    <row r="236" spans="1:10" x14ac:dyDescent="0.3">
      <c r="A236" s="24">
        <v>38929</v>
      </c>
      <c r="B236" s="25">
        <v>5748.3449730000002</v>
      </c>
      <c r="C236" s="25">
        <v>16.161999999999999</v>
      </c>
      <c r="D236" s="25">
        <v>15.316000000000001</v>
      </c>
      <c r="E236" s="25">
        <v>2.4609999999999999</v>
      </c>
      <c r="F236" s="19">
        <f t="shared" si="9"/>
        <v>355.67039803242176</v>
      </c>
      <c r="G236" s="20">
        <f t="shared" si="10"/>
        <v>3.835604686595806E-2</v>
      </c>
      <c r="H236" s="20" t="e" cm="1">
        <f t="array" ref="H236">PRODUCT(G236:G246+1)^(1/3)-1</f>
        <v>#REF!</v>
      </c>
      <c r="I236" s="21">
        <f t="shared" si="11"/>
        <v>327.74309795354577</v>
      </c>
      <c r="J236" s="26">
        <v>46.5</v>
      </c>
    </row>
    <row r="237" spans="1:10" x14ac:dyDescent="0.3">
      <c r="A237" s="24">
        <v>38898</v>
      </c>
      <c r="B237" s="25">
        <v>5635.6825546400005</v>
      </c>
      <c r="C237" s="25">
        <v>16.452999999999999</v>
      </c>
      <c r="D237" s="25">
        <v>15.177</v>
      </c>
      <c r="E237" s="25">
        <v>2.4609999999999999</v>
      </c>
      <c r="F237" s="19">
        <f t="shared" si="9"/>
        <v>342.53221629125392</v>
      </c>
      <c r="G237" s="20">
        <f t="shared" si="10"/>
        <v>-9.2852515655365009E-3</v>
      </c>
      <c r="H237" s="20" t="e" cm="1">
        <f t="array" ref="H237">PRODUCT(G237:G247+1)^(1/3)-1</f>
        <v>#REF!</v>
      </c>
      <c r="I237" s="21">
        <f t="shared" si="11"/>
        <v>323.08854794039979</v>
      </c>
      <c r="J237" s="26">
        <v>45.88</v>
      </c>
    </row>
    <row r="238" spans="1:10" x14ac:dyDescent="0.3">
      <c r="A238" s="24">
        <v>38868</v>
      </c>
      <c r="B238" s="25">
        <v>5688.5017241800006</v>
      </c>
      <c r="C238" s="25">
        <v>16.452999999999999</v>
      </c>
      <c r="D238" s="25">
        <v>15.177</v>
      </c>
      <c r="E238" s="25">
        <v>2.4609999999999999</v>
      </c>
      <c r="F238" s="19">
        <f t="shared" si="9"/>
        <v>345.74252259040907</v>
      </c>
      <c r="G238" s="20">
        <f t="shared" si="10"/>
        <v>4.7466938227046729E-2</v>
      </c>
      <c r="H238" s="20" t="e" cm="1">
        <f t="array" ref="H238">PRODUCT(G238:G248+1)^(1/3)-1</f>
        <v>#REF!</v>
      </c>
      <c r="I238" s="21">
        <f t="shared" si="11"/>
        <v>319.19981427022901</v>
      </c>
      <c r="J238" s="26">
        <v>46.31</v>
      </c>
    </row>
    <row r="239" spans="1:10" x14ac:dyDescent="0.3">
      <c r="A239" s="24">
        <v>38837</v>
      </c>
      <c r="B239" s="25">
        <v>5741.6525151999995</v>
      </c>
      <c r="C239" s="25">
        <v>17.395</v>
      </c>
      <c r="D239" s="25">
        <v>15.188000000000001</v>
      </c>
      <c r="E239" s="25">
        <v>2.4609999999999999</v>
      </c>
      <c r="F239" s="19">
        <f t="shared" si="9"/>
        <v>330.07487871227363</v>
      </c>
      <c r="G239" s="20">
        <f t="shared" si="10"/>
        <v>3.6818537745651136E-2</v>
      </c>
      <c r="H239" s="20" t="e" cm="1">
        <f t="array" ref="H239">PRODUCT(G239:G249+1)^(1/3)-1</f>
        <v>#REF!</v>
      </c>
      <c r="I239" s="21">
        <f t="shared" si="11"/>
        <v>312.56413719018394</v>
      </c>
      <c r="J239" s="26">
        <v>44.9</v>
      </c>
    </row>
    <row r="240" spans="1:10" x14ac:dyDescent="0.3">
      <c r="A240" s="24">
        <v>38807</v>
      </c>
      <c r="B240" s="25">
        <v>5507.1983369999998</v>
      </c>
      <c r="C240" s="25">
        <v>17.298999999999999</v>
      </c>
      <c r="D240" s="25">
        <v>15.249000000000001</v>
      </c>
      <c r="E240" s="25">
        <v>2.4609999999999999</v>
      </c>
      <c r="F240" s="19">
        <f t="shared" si="9"/>
        <v>318.3535659286664</v>
      </c>
      <c r="G240" s="20">
        <f t="shared" si="10"/>
        <v>5.3513024182359814E-2</v>
      </c>
      <c r="H240" s="20" t="e" cm="1">
        <f t="array" ref="H240">PRODUCT(G240:G250+1)^(1/3)-1</f>
        <v>#REF!</v>
      </c>
      <c r="I240" s="21">
        <f t="shared" si="11"/>
        <v>306.72722334948736</v>
      </c>
      <c r="J240" s="26">
        <v>44.5</v>
      </c>
    </row>
    <row r="241" spans="1:10" x14ac:dyDescent="0.3">
      <c r="A241" s="24">
        <v>38776</v>
      </c>
      <c r="B241" s="25">
        <v>5367.0695612400004</v>
      </c>
      <c r="C241" s="25">
        <v>17.760999999999999</v>
      </c>
      <c r="D241" s="25">
        <v>15.035</v>
      </c>
      <c r="E241" s="25">
        <v>2.4609999999999999</v>
      </c>
      <c r="F241" s="19">
        <f t="shared" si="9"/>
        <v>302.18284788243909</v>
      </c>
      <c r="G241" s="20">
        <f t="shared" si="10"/>
        <v>8.4686528228308244E-3</v>
      </c>
      <c r="H241" s="20" t="e" cm="1">
        <f t="array" ref="H241">PRODUCT(G241:G251+1)^(1/3)-1</f>
        <v>#REF!</v>
      </c>
      <c r="I241" s="21">
        <f t="shared" si="11"/>
        <v>300.91405205989793</v>
      </c>
      <c r="J241" s="26">
        <v>44.28</v>
      </c>
    </row>
    <row r="242" spans="1:10" x14ac:dyDescent="0.3">
      <c r="A242" s="24">
        <v>38748</v>
      </c>
      <c r="B242" s="25">
        <v>5332.4869799999997</v>
      </c>
      <c r="C242" s="25">
        <v>17.795999999999999</v>
      </c>
      <c r="D242" s="25">
        <v>15.016999999999999</v>
      </c>
      <c r="E242" s="25">
        <v>2.4609999999999999</v>
      </c>
      <c r="F242" s="19">
        <f t="shared" si="9"/>
        <v>299.6452562373567</v>
      </c>
      <c r="G242" s="20" t="e">
        <f>F242/#REF!-1</f>
        <v>#REF!</v>
      </c>
      <c r="H242" s="20" t="e" cm="1">
        <f t="array" ref="H242">PRODUCT(G242:G252+1)^(1/3)-1</f>
        <v>#REF!</v>
      </c>
      <c r="I242" s="21">
        <f t="shared" si="11"/>
        <v>299.6452562373567</v>
      </c>
      <c r="J242" s="26">
        <v>43.93</v>
      </c>
    </row>
    <row r="243" spans="1:10" x14ac:dyDescent="0.3">
      <c r="J243" s="26"/>
    </row>
    <row r="244" spans="1:10" x14ac:dyDescent="0.3">
      <c r="J244" s="26"/>
    </row>
    <row r="245" spans="1:10" x14ac:dyDescent="0.3">
      <c r="J245" s="26"/>
    </row>
    <row r="246" spans="1:10" x14ac:dyDescent="0.3">
      <c r="J246" s="26"/>
    </row>
    <row r="247" spans="1:10" x14ac:dyDescent="0.3">
      <c r="J247" s="26"/>
    </row>
    <row r="248" spans="1:10" x14ac:dyDescent="0.3">
      <c r="J248" s="26"/>
    </row>
    <row r="249" spans="1:10" x14ac:dyDescent="0.3">
      <c r="J249" s="26"/>
    </row>
    <row r="250" spans="1:10" x14ac:dyDescent="0.3">
      <c r="J250" s="26"/>
    </row>
    <row r="251" spans="1:10" x14ac:dyDescent="0.3">
      <c r="J251" s="26"/>
    </row>
    <row r="252" spans="1:10" x14ac:dyDescent="0.3">
      <c r="J252" s="26"/>
    </row>
    <row r="253" spans="1:10" x14ac:dyDescent="0.3">
      <c r="J253" s="26"/>
    </row>
    <row r="254" spans="1:10" x14ac:dyDescent="0.3">
      <c r="J25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 500 TRI</vt:lpstr>
      <vt:lpstr>MSCI World</vt:lpstr>
      <vt:lpstr>MSCI ACWI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Vaibhav singh</dc:creator>
  <cp:keywords/>
  <dc:description/>
  <cp:lastModifiedBy>Vaibhav Singh</cp:lastModifiedBy>
  <cp:revision/>
  <dcterms:created xsi:type="dcterms:W3CDTF">2015-06-05T18:17:20Z</dcterms:created>
  <dcterms:modified xsi:type="dcterms:W3CDTF">2026-03-06T10:57:07Z</dcterms:modified>
  <cp:category/>
  <cp:contentStatus/>
</cp:coreProperties>
</file>