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o365shriramamc-my.sharepoint.com/personal/vaibhav_singh_shriramamc_in/Documents/Capital Market Assumptions/Combined/"/>
    </mc:Choice>
  </mc:AlternateContent>
  <xr:revisionPtr revIDLastSave="204" documentId="11_F25DC773A252ABDACC1048B031584C645ADE58EE" xr6:coauthVersionLast="47" xr6:coauthVersionMax="47" xr10:uidLastSave="{0A85D7A2-FE5D-4923-91E4-8492AB5FDD92}"/>
  <bookViews>
    <workbookView xWindow="-28908" yWindow="-60" windowWidth="29016" windowHeight="15696" activeTab="2" xr2:uid="{00000000-000D-0000-FFFF-FFFF00000000}"/>
  </bookViews>
  <sheets>
    <sheet name="Nifty 500 TRI" sheetId="1" r:id="rId1"/>
    <sheet name="MSCI World" sheetId="4" r:id="rId2"/>
    <sheet name="MSCI ACWI" sheetId="5" r:id="rId3"/>
  </sheets>
  <calcPr calcId="191029" iterate="1" iterateCount="100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2" i="5" l="1"/>
  <c r="H242" i="5" s="1" a="1"/>
  <c r="H242" i="5" s="1"/>
  <c r="F242" i="5"/>
  <c r="I242" i="5" s="1"/>
  <c r="F241" i="5"/>
  <c r="I241" i="5" s="1"/>
  <c r="I240" i="5"/>
  <c r="F240" i="5"/>
  <c r="G240" i="5" s="1"/>
  <c r="F239" i="5"/>
  <c r="I239" i="5" s="1"/>
  <c r="G238" i="5"/>
  <c r="F238" i="5"/>
  <c r="F237" i="5"/>
  <c r="I237" i="5" s="1"/>
  <c r="F236" i="5"/>
  <c r="F235" i="5"/>
  <c r="G234" i="5"/>
  <c r="F234" i="5"/>
  <c r="G233" i="5" s="1"/>
  <c r="F233" i="5"/>
  <c r="G232" i="5"/>
  <c r="F232" i="5"/>
  <c r="F231" i="5"/>
  <c r="F230" i="5"/>
  <c r="I230" i="5" s="1"/>
  <c r="F229" i="5"/>
  <c r="F228" i="5"/>
  <c r="G228" i="5" s="1"/>
  <c r="F227" i="5"/>
  <c r="G226" i="5"/>
  <c r="F226" i="5"/>
  <c r="F225" i="5"/>
  <c r="F224" i="5"/>
  <c r="I224" i="5" s="1"/>
  <c r="F223" i="5"/>
  <c r="G222" i="5"/>
  <c r="F222" i="5"/>
  <c r="F221" i="5"/>
  <c r="G221" i="5" s="1"/>
  <c r="G220" i="5"/>
  <c r="F220" i="5"/>
  <c r="G219" i="5"/>
  <c r="F219" i="5"/>
  <c r="F218" i="5"/>
  <c r="F217" i="5"/>
  <c r="F216" i="5"/>
  <c r="G216" i="5" s="1"/>
  <c r="F215" i="5"/>
  <c r="G214" i="5"/>
  <c r="F214" i="5"/>
  <c r="F213" i="5"/>
  <c r="F212" i="5"/>
  <c r="F211" i="5"/>
  <c r="G211" i="5" s="1"/>
  <c r="G210" i="5"/>
  <c r="F210" i="5"/>
  <c r="F209" i="5"/>
  <c r="G209" i="5" s="1"/>
  <c r="G208" i="5"/>
  <c r="F208" i="5"/>
  <c r="I208" i="5" s="1"/>
  <c r="F207" i="5"/>
  <c r="F206" i="5"/>
  <c r="F205" i="5"/>
  <c r="I204" i="5" s="1"/>
  <c r="F204" i="5"/>
  <c r="F203" i="5"/>
  <c r="G202" i="5"/>
  <c r="F202" i="5"/>
  <c r="F201" i="5"/>
  <c r="F200" i="5"/>
  <c r="I199" i="5" s="1"/>
  <c r="F199" i="5"/>
  <c r="G198" i="5"/>
  <c r="F198" i="5"/>
  <c r="F197" i="5"/>
  <c r="G197" i="5" s="1"/>
  <c r="G196" i="5"/>
  <c r="F196" i="5"/>
  <c r="G195" i="5"/>
  <c r="F195" i="5"/>
  <c r="I187" i="5" s="1"/>
  <c r="F194" i="5"/>
  <c r="F193" i="5"/>
  <c r="F192" i="5"/>
  <c r="G192" i="5" s="1"/>
  <c r="F191" i="5"/>
  <c r="G190" i="5"/>
  <c r="F190" i="5"/>
  <c r="F189" i="5"/>
  <c r="G188" i="5"/>
  <c r="F188" i="5"/>
  <c r="F187" i="5"/>
  <c r="G187" i="5" s="1"/>
  <c r="G186" i="5"/>
  <c r="F186" i="5"/>
  <c r="F185" i="5"/>
  <c r="G185" i="5" s="1"/>
  <c r="G184" i="5"/>
  <c r="F184" i="5"/>
  <c r="F183" i="5"/>
  <c r="F182" i="5"/>
  <c r="F181" i="5"/>
  <c r="F180" i="5"/>
  <c r="G180" i="5" s="1"/>
  <c r="F179" i="5"/>
  <c r="G178" i="5"/>
  <c r="F178" i="5"/>
  <c r="F177" i="5"/>
  <c r="F176" i="5"/>
  <c r="F175" i="5"/>
  <c r="G175" i="5" s="1"/>
  <c r="G174" i="5"/>
  <c r="F174" i="5"/>
  <c r="F173" i="5"/>
  <c r="G173" i="5" s="1"/>
  <c r="G172" i="5"/>
  <c r="F172" i="5"/>
  <c r="F171" i="5"/>
  <c r="F170" i="5"/>
  <c r="F169" i="5"/>
  <c r="I163" i="5" s="1"/>
  <c r="F168" i="5"/>
  <c r="F167" i="5"/>
  <c r="G166" i="5"/>
  <c r="F166" i="5"/>
  <c r="F165" i="5"/>
  <c r="F164" i="5"/>
  <c r="F163" i="5"/>
  <c r="G163" i="5" s="1"/>
  <c r="G162" i="5"/>
  <c r="F162" i="5"/>
  <c r="F161" i="5"/>
  <c r="G161" i="5" s="1"/>
  <c r="G160" i="5"/>
  <c r="F160" i="5"/>
  <c r="F159" i="5"/>
  <c r="F158" i="5"/>
  <c r="F157" i="5"/>
  <c r="I156" i="5" s="1"/>
  <c r="F156" i="5"/>
  <c r="G156" i="5" s="1"/>
  <c r="F155" i="5"/>
  <c r="G154" i="5"/>
  <c r="F154" i="5"/>
  <c r="F153" i="5"/>
  <c r="F152" i="5"/>
  <c r="I152" i="5" s="1"/>
  <c r="F151" i="5"/>
  <c r="G150" i="5"/>
  <c r="F150" i="5"/>
  <c r="F149" i="5"/>
  <c r="G149" i="5" s="1"/>
  <c r="G148" i="5"/>
  <c r="F148" i="5"/>
  <c r="G147" i="5"/>
  <c r="F147" i="5"/>
  <c r="F146" i="5"/>
  <c r="F145" i="5"/>
  <c r="F144" i="5"/>
  <c r="F143" i="5"/>
  <c r="G142" i="5"/>
  <c r="F142" i="5"/>
  <c r="F141" i="5"/>
  <c r="I141" i="5" s="1"/>
  <c r="F140" i="5"/>
  <c r="F139" i="5"/>
  <c r="G139" i="5" s="1"/>
  <c r="G138" i="5"/>
  <c r="F138" i="5"/>
  <c r="F137" i="5"/>
  <c r="G137" i="5" s="1"/>
  <c r="G136" i="5"/>
  <c r="F136" i="5"/>
  <c r="I136" i="5" s="1"/>
  <c r="F135" i="5"/>
  <c r="F134" i="5"/>
  <c r="F133" i="5"/>
  <c r="I132" i="5" s="1"/>
  <c r="F132" i="5"/>
  <c r="F131" i="5"/>
  <c r="G130" i="5"/>
  <c r="F130" i="5"/>
  <c r="F129" i="5"/>
  <c r="F128" i="5"/>
  <c r="I125" i="5" s="1"/>
  <c r="F127" i="5"/>
  <c r="G126" i="5"/>
  <c r="F126" i="5"/>
  <c r="F125" i="5"/>
  <c r="G125" i="5" s="1"/>
  <c r="G124" i="5"/>
  <c r="F124" i="5"/>
  <c r="F123" i="5"/>
  <c r="I115" i="5" s="1"/>
  <c r="F122" i="5"/>
  <c r="F121" i="5"/>
  <c r="I120" i="5" s="1"/>
  <c r="F120" i="5"/>
  <c r="G120" i="5" s="1"/>
  <c r="F119" i="5"/>
  <c r="G118" i="5"/>
  <c r="F118" i="5"/>
  <c r="F117" i="5"/>
  <c r="G116" i="5"/>
  <c r="F116" i="5"/>
  <c r="F115" i="5"/>
  <c r="G115" i="5" s="1"/>
  <c r="G114" i="5"/>
  <c r="F114" i="5"/>
  <c r="F113" i="5"/>
  <c r="G113" i="5" s="1"/>
  <c r="G112" i="5"/>
  <c r="F112" i="5"/>
  <c r="F111" i="5"/>
  <c r="F110" i="5"/>
  <c r="F109" i="5"/>
  <c r="I108" i="5" s="1"/>
  <c r="F108" i="5"/>
  <c r="G108" i="5" s="1"/>
  <c r="F107" i="5"/>
  <c r="G106" i="5"/>
  <c r="F106" i="5"/>
  <c r="F105" i="5"/>
  <c r="F104" i="5"/>
  <c r="F103" i="5"/>
  <c r="G103" i="5" s="1"/>
  <c r="G102" i="5"/>
  <c r="F102" i="5"/>
  <c r="I102" i="5" s="1"/>
  <c r="F101" i="5"/>
  <c r="G101" i="5" s="1"/>
  <c r="G100" i="5"/>
  <c r="F100" i="5"/>
  <c r="F99" i="5"/>
  <c r="F98" i="5"/>
  <c r="F97" i="5"/>
  <c r="I91" i="5" s="1"/>
  <c r="I96" i="5"/>
  <c r="F96" i="5"/>
  <c r="F95" i="5"/>
  <c r="G94" i="5"/>
  <c r="F94" i="5"/>
  <c r="F93" i="5"/>
  <c r="F92" i="5"/>
  <c r="F91" i="5"/>
  <c r="G91" i="5" s="1"/>
  <c r="G90" i="5"/>
  <c r="F90" i="5"/>
  <c r="F89" i="5"/>
  <c r="G89" i="5" s="1"/>
  <c r="G88" i="5"/>
  <c r="F88" i="5"/>
  <c r="F87" i="5"/>
  <c r="F86" i="5"/>
  <c r="I86" i="5" s="1"/>
  <c r="F85" i="5"/>
  <c r="I84" i="5" s="1"/>
  <c r="F84" i="5"/>
  <c r="G84" i="5" s="1"/>
  <c r="F83" i="5"/>
  <c r="G82" i="5"/>
  <c r="F82" i="5"/>
  <c r="F81" i="5"/>
  <c r="F80" i="5"/>
  <c r="I80" i="5" s="1"/>
  <c r="F79" i="5"/>
  <c r="G78" i="5"/>
  <c r="F78" i="5"/>
  <c r="F77" i="5"/>
  <c r="G77" i="5" s="1"/>
  <c r="G76" i="5"/>
  <c r="F76" i="5"/>
  <c r="G75" i="5"/>
  <c r="F75" i="5"/>
  <c r="F74" i="5"/>
  <c r="F73" i="5"/>
  <c r="F72" i="5"/>
  <c r="F71" i="5"/>
  <c r="G70" i="5"/>
  <c r="F70" i="5"/>
  <c r="F69" i="5"/>
  <c r="G68" i="5"/>
  <c r="F68" i="5"/>
  <c r="F67" i="5"/>
  <c r="G67" i="5" s="1"/>
  <c r="G66" i="5"/>
  <c r="F66" i="5"/>
  <c r="F65" i="5"/>
  <c r="G65" i="5" s="1"/>
  <c r="G64" i="5"/>
  <c r="F64" i="5"/>
  <c r="I64" i="5" s="1"/>
  <c r="F63" i="5"/>
  <c r="F62" i="5"/>
  <c r="F61" i="5"/>
  <c r="I60" i="5" s="1"/>
  <c r="F60" i="5"/>
  <c r="F59" i="5"/>
  <c r="G58" i="5"/>
  <c r="F58" i="5"/>
  <c r="F57" i="5"/>
  <c r="F56" i="5"/>
  <c r="F55" i="5"/>
  <c r="F54" i="5"/>
  <c r="I53" i="5" s="1"/>
  <c r="F53" i="5"/>
  <c r="G53" i="5" s="1"/>
  <c r="G52" i="5"/>
  <c r="F52" i="5"/>
  <c r="F51" i="5"/>
  <c r="F50" i="5"/>
  <c r="F49" i="5"/>
  <c r="I48" i="5" s="1"/>
  <c r="F48" i="5"/>
  <c r="G48" i="5" s="1"/>
  <c r="F47" i="5"/>
  <c r="I46" i="5" s="1"/>
  <c r="G46" i="5"/>
  <c r="F46" i="5"/>
  <c r="F45" i="5"/>
  <c r="F44" i="5"/>
  <c r="I43" i="5"/>
  <c r="F43" i="5"/>
  <c r="F42" i="5"/>
  <c r="F41" i="5"/>
  <c r="G40" i="5"/>
  <c r="F40" i="5"/>
  <c r="F39" i="5"/>
  <c r="G38" i="5" s="1"/>
  <c r="F38" i="5"/>
  <c r="G37" i="5"/>
  <c r="F37" i="5"/>
  <c r="F36" i="5"/>
  <c r="G36" i="5" s="1"/>
  <c r="F35" i="5"/>
  <c r="I34" i="5" s="1"/>
  <c r="G34" i="5"/>
  <c r="F34" i="5"/>
  <c r="F33" i="5"/>
  <c r="F32" i="5"/>
  <c r="I29" i="5" s="1"/>
  <c r="I31" i="5"/>
  <c r="F31" i="5"/>
  <c r="F30" i="5"/>
  <c r="F29" i="5"/>
  <c r="G28" i="5"/>
  <c r="F28" i="5"/>
  <c r="F27" i="5"/>
  <c r="G26" i="5" s="1"/>
  <c r="F26" i="5"/>
  <c r="G25" i="5"/>
  <c r="F25" i="5"/>
  <c r="F24" i="5"/>
  <c r="G24" i="5" s="1"/>
  <c r="F23" i="5"/>
  <c r="I22" i="5" s="1"/>
  <c r="G22" i="5"/>
  <c r="F22" i="5"/>
  <c r="F21" i="5"/>
  <c r="F20" i="5"/>
  <c r="I17" i="5" s="1"/>
  <c r="I19" i="5"/>
  <c r="F19" i="5"/>
  <c r="F18" i="5"/>
  <c r="F17" i="5"/>
  <c r="G16" i="5"/>
  <c r="F16" i="5"/>
  <c r="F15" i="5"/>
  <c r="G14" i="5" s="1"/>
  <c r="F14" i="5"/>
  <c r="G13" i="5"/>
  <c r="F13" i="5"/>
  <c r="F12" i="5"/>
  <c r="G12" i="5" s="1"/>
  <c r="F11" i="5"/>
  <c r="I10" i="5" s="1"/>
  <c r="G10" i="5"/>
  <c r="F10" i="5"/>
  <c r="F9" i="5"/>
  <c r="F8" i="5"/>
  <c r="G8" i="5" s="1"/>
  <c r="I7" i="5"/>
  <c r="F7" i="5"/>
  <c r="F6" i="5"/>
  <c r="F5" i="5"/>
  <c r="G4" i="5"/>
  <c r="F4" i="5"/>
  <c r="F3" i="5"/>
  <c r="G2" i="5" s="1"/>
  <c r="F2" i="5"/>
  <c r="I242" i="4"/>
  <c r="F242" i="4"/>
  <c r="F241" i="4"/>
  <c r="I241" i="4" s="1"/>
  <c r="I240" i="4"/>
  <c r="F240" i="4"/>
  <c r="G240" i="4" s="1"/>
  <c r="I239" i="4"/>
  <c r="F239" i="4"/>
  <c r="G238" i="4" s="1"/>
  <c r="I238" i="4"/>
  <c r="F238" i="4"/>
  <c r="I237" i="4"/>
  <c r="G237" i="4"/>
  <c r="F237" i="4"/>
  <c r="I236" i="4"/>
  <c r="G236" i="4"/>
  <c r="F236" i="4"/>
  <c r="I235" i="4"/>
  <c r="G235" i="4"/>
  <c r="F235" i="4"/>
  <c r="I234" i="4"/>
  <c r="G234" i="4"/>
  <c r="F234" i="4"/>
  <c r="I233" i="4"/>
  <c r="G233" i="4"/>
  <c r="F233" i="4"/>
  <c r="I232" i="4"/>
  <c r="G232" i="4"/>
  <c r="F232" i="4"/>
  <c r="I231" i="4"/>
  <c r="G231" i="4"/>
  <c r="F231" i="4"/>
  <c r="I230" i="4"/>
  <c r="G230" i="4"/>
  <c r="F230" i="4"/>
  <c r="I229" i="4"/>
  <c r="G229" i="4"/>
  <c r="F229" i="4"/>
  <c r="I228" i="4"/>
  <c r="G228" i="4"/>
  <c r="F228" i="4"/>
  <c r="I227" i="4"/>
  <c r="G227" i="4"/>
  <c r="F227" i="4"/>
  <c r="I226" i="4"/>
  <c r="G226" i="4"/>
  <c r="F226" i="4"/>
  <c r="I225" i="4"/>
  <c r="G225" i="4"/>
  <c r="F225" i="4"/>
  <c r="I224" i="4"/>
  <c r="G224" i="4"/>
  <c r="F224" i="4"/>
  <c r="I223" i="4"/>
  <c r="G223" i="4"/>
  <c r="F223" i="4"/>
  <c r="I222" i="4"/>
  <c r="G222" i="4"/>
  <c r="F222" i="4"/>
  <c r="I221" i="4"/>
  <c r="G221" i="4"/>
  <c r="F221" i="4"/>
  <c r="I220" i="4"/>
  <c r="G220" i="4"/>
  <c r="F220" i="4"/>
  <c r="I219" i="4"/>
  <c r="G219" i="4"/>
  <c r="F219" i="4"/>
  <c r="I218" i="4"/>
  <c r="G218" i="4"/>
  <c r="F218" i="4"/>
  <c r="I217" i="4"/>
  <c r="G217" i="4"/>
  <c r="F217" i="4"/>
  <c r="I216" i="4"/>
  <c r="G216" i="4"/>
  <c r="F216" i="4"/>
  <c r="I215" i="4"/>
  <c r="G215" i="4"/>
  <c r="F215" i="4"/>
  <c r="I214" i="4"/>
  <c r="G214" i="4"/>
  <c r="F214" i="4"/>
  <c r="I213" i="4"/>
  <c r="G213" i="4"/>
  <c r="F213" i="4"/>
  <c r="I212" i="4"/>
  <c r="G212" i="4"/>
  <c r="F212" i="4"/>
  <c r="I211" i="4"/>
  <c r="G211" i="4"/>
  <c r="F211" i="4"/>
  <c r="I210" i="4"/>
  <c r="G210" i="4"/>
  <c r="F210" i="4"/>
  <c r="I209" i="4"/>
  <c r="G209" i="4"/>
  <c r="F209" i="4"/>
  <c r="I208" i="4"/>
  <c r="G208" i="4"/>
  <c r="F208" i="4"/>
  <c r="I207" i="4"/>
  <c r="G207" i="4"/>
  <c r="F207" i="4"/>
  <c r="I206" i="4"/>
  <c r="G206" i="4"/>
  <c r="F206" i="4"/>
  <c r="F205" i="4"/>
  <c r="I205" i="4" s="1"/>
  <c r="I204" i="4"/>
  <c r="G204" i="4"/>
  <c r="F204" i="4"/>
  <c r="I203" i="4"/>
  <c r="F203" i="4"/>
  <c r="G203" i="4" s="1"/>
  <c r="F202" i="4"/>
  <c r="I202" i="4" s="1"/>
  <c r="F201" i="4"/>
  <c r="I201" i="4" s="1"/>
  <c r="F200" i="4"/>
  <c r="I200" i="4" s="1"/>
  <c r="I199" i="4"/>
  <c r="F199" i="4"/>
  <c r="G199" i="4" s="1"/>
  <c r="F198" i="4"/>
  <c r="I198" i="4" s="1"/>
  <c r="F197" i="4"/>
  <c r="I197" i="4" s="1"/>
  <c r="F196" i="4"/>
  <c r="I196" i="4" s="1"/>
  <c r="F195" i="4"/>
  <c r="F194" i="4"/>
  <c r="G193" i="4"/>
  <c r="F193" i="4"/>
  <c r="G192" i="4" s="1"/>
  <c r="F192" i="4"/>
  <c r="G191" i="4"/>
  <c r="F191" i="4"/>
  <c r="G190" i="4"/>
  <c r="F190" i="4"/>
  <c r="F189" i="4"/>
  <c r="I189" i="4" s="1"/>
  <c r="F188" i="4"/>
  <c r="I188" i="4" s="1"/>
  <c r="I187" i="4"/>
  <c r="F187" i="4"/>
  <c r="G187" i="4" s="1"/>
  <c r="F186" i="4"/>
  <c r="I186" i="4" s="1"/>
  <c r="F185" i="4"/>
  <c r="F184" i="4"/>
  <c r="I184" i="4" s="1"/>
  <c r="F183" i="4"/>
  <c r="F182" i="4"/>
  <c r="G181" i="4"/>
  <c r="F181" i="4"/>
  <c r="G180" i="4" s="1"/>
  <c r="F180" i="4"/>
  <c r="G179" i="4"/>
  <c r="F179" i="4"/>
  <c r="G178" i="4"/>
  <c r="F178" i="4"/>
  <c r="F177" i="4"/>
  <c r="I177" i="4" s="1"/>
  <c r="F176" i="4"/>
  <c r="I175" i="4"/>
  <c r="F175" i="4"/>
  <c r="G175" i="4" s="1"/>
  <c r="F174" i="4"/>
  <c r="F173" i="4"/>
  <c r="F172" i="4"/>
  <c r="F171" i="4"/>
  <c r="I171" i="4" s="1"/>
  <c r="F170" i="4"/>
  <c r="I168" i="4" s="1"/>
  <c r="F169" i="4"/>
  <c r="G168" i="4" s="1"/>
  <c r="F168" i="4"/>
  <c r="G167" i="4"/>
  <c r="F167" i="4"/>
  <c r="G166" i="4"/>
  <c r="F166" i="4"/>
  <c r="G165" i="4"/>
  <c r="F165" i="4"/>
  <c r="I165" i="4" s="1"/>
  <c r="F164" i="4"/>
  <c r="F163" i="4"/>
  <c r="F162" i="4"/>
  <c r="G162" i="4" s="1"/>
  <c r="F161" i="4"/>
  <c r="G160" i="4" s="1"/>
  <c r="F160" i="4"/>
  <c r="F159" i="4"/>
  <c r="F158" i="4"/>
  <c r="F157" i="4"/>
  <c r="G156" i="4"/>
  <c r="F156" i="4"/>
  <c r="F155" i="4"/>
  <c r="G154" i="4"/>
  <c r="F154" i="4"/>
  <c r="G153" i="4"/>
  <c r="F153" i="4"/>
  <c r="F152" i="4"/>
  <c r="F151" i="4"/>
  <c r="F150" i="4"/>
  <c r="G150" i="4" s="1"/>
  <c r="F149" i="4"/>
  <c r="F148" i="4"/>
  <c r="F147" i="4"/>
  <c r="I147" i="4" s="1"/>
  <c r="F146" i="4"/>
  <c r="F145" i="4"/>
  <c r="G144" i="4"/>
  <c r="F144" i="4"/>
  <c r="F143" i="4"/>
  <c r="G142" i="4"/>
  <c r="F142" i="4"/>
  <c r="G141" i="4"/>
  <c r="F141" i="4"/>
  <c r="F140" i="4"/>
  <c r="I139" i="4" s="1"/>
  <c r="F139" i="4"/>
  <c r="F138" i="4"/>
  <c r="G138" i="4" s="1"/>
  <c r="F137" i="4"/>
  <c r="F136" i="4"/>
  <c r="G135" i="4"/>
  <c r="F135" i="4"/>
  <c r="F134" i="4"/>
  <c r="I126" i="4" s="1"/>
  <c r="F133" i="4"/>
  <c r="G132" i="4"/>
  <c r="F132" i="4"/>
  <c r="F131" i="4"/>
  <c r="G130" i="4"/>
  <c r="F130" i="4"/>
  <c r="G129" i="4"/>
  <c r="F129" i="4"/>
  <c r="F128" i="4"/>
  <c r="I127" i="4" s="1"/>
  <c r="F127" i="4"/>
  <c r="F126" i="4"/>
  <c r="G126" i="4" s="1"/>
  <c r="F125" i="4"/>
  <c r="F124" i="4"/>
  <c r="F123" i="4"/>
  <c r="I117" i="4" s="1"/>
  <c r="F122" i="4"/>
  <c r="F121" i="4"/>
  <c r="G120" i="4"/>
  <c r="F120" i="4"/>
  <c r="F119" i="4"/>
  <c r="G119" i="4" s="1"/>
  <c r="G118" i="4"/>
  <c r="F118" i="4"/>
  <c r="G117" i="4"/>
  <c r="F117" i="4"/>
  <c r="F116" i="4"/>
  <c r="F115" i="4"/>
  <c r="F114" i="4"/>
  <c r="G114" i="4" s="1"/>
  <c r="F113" i="4"/>
  <c r="F112" i="4"/>
  <c r="F111" i="4"/>
  <c r="G111" i="4" s="1"/>
  <c r="F110" i="4"/>
  <c r="F109" i="4"/>
  <c r="F108" i="4"/>
  <c r="F107" i="4"/>
  <c r="G106" i="4"/>
  <c r="F106" i="4"/>
  <c r="G105" i="4"/>
  <c r="F105" i="4"/>
  <c r="F104" i="4"/>
  <c r="F103" i="4"/>
  <c r="F102" i="4"/>
  <c r="G102" i="4" s="1"/>
  <c r="F101" i="4"/>
  <c r="F100" i="4"/>
  <c r="G100" i="4" s="1"/>
  <c r="F99" i="4"/>
  <c r="F98" i="4"/>
  <c r="F97" i="4"/>
  <c r="F96" i="4"/>
  <c r="I90" i="4" s="1"/>
  <c r="F95" i="4"/>
  <c r="G94" i="4"/>
  <c r="F94" i="4"/>
  <c r="G93" i="4"/>
  <c r="F93" i="4"/>
  <c r="F92" i="4"/>
  <c r="G91" i="4"/>
  <c r="F91" i="4"/>
  <c r="F90" i="4"/>
  <c r="G90" i="4" s="1"/>
  <c r="F89" i="4"/>
  <c r="F88" i="4"/>
  <c r="G88" i="4" s="1"/>
  <c r="F87" i="4"/>
  <c r="F86" i="4"/>
  <c r="F85" i="4"/>
  <c r="F84" i="4"/>
  <c r="F83" i="4"/>
  <c r="G82" i="4"/>
  <c r="F82" i="4"/>
  <c r="I81" i="4"/>
  <c r="G81" i="4"/>
  <c r="F81" i="4"/>
  <c r="F80" i="4"/>
  <c r="I79" i="4" s="1"/>
  <c r="G79" i="4"/>
  <c r="F79" i="4"/>
  <c r="F78" i="4"/>
  <c r="G78" i="4" s="1"/>
  <c r="F77" i="4"/>
  <c r="F76" i="4"/>
  <c r="F75" i="4"/>
  <c r="G75" i="4" s="1"/>
  <c r="F74" i="4"/>
  <c r="F73" i="4"/>
  <c r="F72" i="4"/>
  <c r="I45" i="4" s="1"/>
  <c r="F71" i="4"/>
  <c r="G70" i="4"/>
  <c r="F70" i="4"/>
  <c r="G69" i="4"/>
  <c r="F69" i="4"/>
  <c r="F68" i="4"/>
  <c r="I66" i="4" s="1"/>
  <c r="F67" i="4"/>
  <c r="F66" i="4"/>
  <c r="G66" i="4" s="1"/>
  <c r="F65" i="4"/>
  <c r="F64" i="4"/>
  <c r="G64" i="4" s="1"/>
  <c r="F63" i="4"/>
  <c r="F62" i="4"/>
  <c r="F61" i="4"/>
  <c r="F60" i="4"/>
  <c r="I54" i="4" s="1"/>
  <c r="F59" i="4"/>
  <c r="G58" i="4"/>
  <c r="F58" i="4"/>
  <c r="G57" i="4"/>
  <c r="F57" i="4"/>
  <c r="F56" i="4"/>
  <c r="G55" i="4"/>
  <c r="F55" i="4"/>
  <c r="F54" i="4"/>
  <c r="G54" i="4" s="1"/>
  <c r="F53" i="4"/>
  <c r="F52" i="4"/>
  <c r="G52" i="4" s="1"/>
  <c r="F51" i="4"/>
  <c r="G51" i="4" s="1"/>
  <c r="F50" i="4"/>
  <c r="F49" i="4"/>
  <c r="F48" i="4"/>
  <c r="G48" i="4" s="1"/>
  <c r="F47" i="4"/>
  <c r="G46" i="4"/>
  <c r="F46" i="4"/>
  <c r="G45" i="4"/>
  <c r="F45" i="4"/>
  <c r="F44" i="4"/>
  <c r="I43" i="4" s="1"/>
  <c r="G43" i="4"/>
  <c r="F43" i="4"/>
  <c r="F42" i="4"/>
  <c r="G42" i="4" s="1"/>
  <c r="F41" i="4"/>
  <c r="F40" i="4"/>
  <c r="F39" i="4"/>
  <c r="F38" i="4"/>
  <c r="F37" i="4"/>
  <c r="F36" i="4"/>
  <c r="F35" i="4"/>
  <c r="G34" i="4"/>
  <c r="F34" i="4"/>
  <c r="G33" i="4"/>
  <c r="F33" i="4"/>
  <c r="F32" i="4"/>
  <c r="I30" i="4" s="1"/>
  <c r="F31" i="4"/>
  <c r="F30" i="4"/>
  <c r="G30" i="4" s="1"/>
  <c r="F29" i="4"/>
  <c r="F28" i="4"/>
  <c r="G28" i="4" s="1"/>
  <c r="F27" i="4"/>
  <c r="I24" i="4" s="1"/>
  <c r="F26" i="4"/>
  <c r="F25" i="4"/>
  <c r="F24" i="4"/>
  <c r="I18" i="4" s="1"/>
  <c r="F23" i="4"/>
  <c r="G22" i="4"/>
  <c r="F22" i="4"/>
  <c r="G21" i="4"/>
  <c r="F21" i="4"/>
  <c r="F20" i="4"/>
  <c r="G19" i="4"/>
  <c r="F19" i="4"/>
  <c r="F18" i="4"/>
  <c r="G18" i="4" s="1"/>
  <c r="F17" i="4"/>
  <c r="F16" i="4"/>
  <c r="G16" i="4" s="1"/>
  <c r="F15" i="4"/>
  <c r="F14" i="4"/>
  <c r="F13" i="4"/>
  <c r="F12" i="4"/>
  <c r="F11" i="4"/>
  <c r="G10" i="4"/>
  <c r="F10" i="4"/>
  <c r="G9" i="4"/>
  <c r="F9" i="4"/>
  <c r="F8" i="4"/>
  <c r="I7" i="4" s="1"/>
  <c r="G7" i="4"/>
  <c r="F7" i="4"/>
  <c r="F6" i="4"/>
  <c r="G6" i="4" s="1"/>
  <c r="F5" i="4"/>
  <c r="F4" i="4"/>
  <c r="F3" i="4"/>
  <c r="G3" i="4" s="1"/>
  <c r="F2" i="4"/>
  <c r="I3" i="5" l="1"/>
  <c r="I27" i="5"/>
  <c r="I44" i="5"/>
  <c r="I113" i="5"/>
  <c r="G152" i="5"/>
  <c r="G158" i="5"/>
  <c r="I159" i="5"/>
  <c r="I185" i="5"/>
  <c r="I191" i="5"/>
  <c r="G224" i="5"/>
  <c r="H224" i="5" s="1" a="1"/>
  <c r="H224" i="5" s="1"/>
  <c r="G230" i="5"/>
  <c r="I231" i="5"/>
  <c r="G86" i="5"/>
  <c r="I87" i="5"/>
  <c r="I169" i="5"/>
  <c r="G169" i="5"/>
  <c r="I4" i="5"/>
  <c r="I16" i="5"/>
  <c r="G20" i="5"/>
  <c r="I28" i="5"/>
  <c r="G32" i="5"/>
  <c r="I40" i="5"/>
  <c r="G44" i="5"/>
  <c r="I76" i="5"/>
  <c r="I81" i="5"/>
  <c r="G87" i="5"/>
  <c r="I92" i="5"/>
  <c r="I98" i="5"/>
  <c r="I114" i="5"/>
  <c r="I148" i="5"/>
  <c r="I153" i="5"/>
  <c r="G159" i="5"/>
  <c r="I164" i="5"/>
  <c r="I170" i="5"/>
  <c r="I180" i="5"/>
  <c r="I186" i="5"/>
  <c r="I220" i="5"/>
  <c r="I225" i="5"/>
  <c r="G231" i="5"/>
  <c r="H231" i="5" s="1" a="1"/>
  <c r="H231" i="5" s="1"/>
  <c r="I8" i="5"/>
  <c r="G80" i="5"/>
  <c r="I12" i="5"/>
  <c r="I49" i="5"/>
  <c r="G92" i="5"/>
  <c r="G98" i="5"/>
  <c r="I99" i="5"/>
  <c r="I103" i="5"/>
  <c r="I109" i="5"/>
  <c r="G109" i="5"/>
  <c r="I131" i="5"/>
  <c r="G164" i="5"/>
  <c r="H161" i="5" s="1" a="1"/>
  <c r="H161" i="5" s="1"/>
  <c r="G170" i="5"/>
  <c r="I171" i="5"/>
  <c r="I175" i="5"/>
  <c r="I181" i="5"/>
  <c r="G181" i="5"/>
  <c r="I197" i="5"/>
  <c r="I203" i="5"/>
  <c r="I232" i="5"/>
  <c r="I119" i="5"/>
  <c r="I24" i="5"/>
  <c r="I36" i="5"/>
  <c r="I59" i="5"/>
  <c r="G5" i="5"/>
  <c r="G17" i="5"/>
  <c r="G29" i="5"/>
  <c r="G41" i="5"/>
  <c r="H40" i="5" s="1" a="1"/>
  <c r="H40" i="5" s="1"/>
  <c r="G49" i="5"/>
  <c r="G60" i="5"/>
  <c r="I88" i="5"/>
  <c r="I93" i="5"/>
  <c r="G99" i="5"/>
  <c r="I104" i="5"/>
  <c r="I110" i="5"/>
  <c r="I126" i="5"/>
  <c r="G132" i="5"/>
  <c r="I160" i="5"/>
  <c r="I165" i="5"/>
  <c r="G171" i="5"/>
  <c r="I176" i="5"/>
  <c r="I182" i="5"/>
  <c r="I192" i="5"/>
  <c r="I198" i="5"/>
  <c r="G204" i="5"/>
  <c r="I9" i="5"/>
  <c r="G9" i="5"/>
  <c r="H8" i="5" s="1" a="1"/>
  <c r="H8" i="5" s="1"/>
  <c r="I21" i="5"/>
  <c r="G21" i="5"/>
  <c r="I33" i="5"/>
  <c r="G33" i="5"/>
  <c r="I45" i="5"/>
  <c r="G45" i="5"/>
  <c r="I54" i="5"/>
  <c r="G54" i="5"/>
  <c r="I65" i="5"/>
  <c r="I71" i="5"/>
  <c r="G104" i="5"/>
  <c r="H104" i="5" s="1" a="1"/>
  <c r="H104" i="5" s="1"/>
  <c r="G110" i="5"/>
  <c r="H108" i="5" s="1" a="1"/>
  <c r="H108" i="5" s="1"/>
  <c r="I111" i="5"/>
  <c r="I121" i="5"/>
  <c r="G121" i="5"/>
  <c r="I137" i="5"/>
  <c r="I143" i="5"/>
  <c r="G176" i="5"/>
  <c r="H173" i="5" s="1" a="1"/>
  <c r="H173" i="5" s="1"/>
  <c r="G182" i="5"/>
  <c r="I183" i="5"/>
  <c r="I193" i="5"/>
  <c r="G193" i="5"/>
  <c r="H192" i="5" s="1" a="1"/>
  <c r="H192" i="5" s="1"/>
  <c r="I209" i="5"/>
  <c r="I215" i="5"/>
  <c r="I50" i="5"/>
  <c r="G55" i="5"/>
  <c r="I66" i="5"/>
  <c r="G72" i="5"/>
  <c r="I100" i="5"/>
  <c r="I105" i="5"/>
  <c r="G111" i="5"/>
  <c r="I116" i="5"/>
  <c r="I122" i="5"/>
  <c r="G127" i="5"/>
  <c r="H126" i="5" s="1" a="1"/>
  <c r="H126" i="5" s="1"/>
  <c r="I138" i="5"/>
  <c r="G144" i="5"/>
  <c r="I172" i="5"/>
  <c r="I177" i="5"/>
  <c r="G183" i="5"/>
  <c r="I188" i="5"/>
  <c r="I194" i="5"/>
  <c r="G199" i="5"/>
  <c r="I210" i="5"/>
  <c r="I213" i="5"/>
  <c r="I39" i="5"/>
  <c r="I5" i="5"/>
  <c r="I13" i="5"/>
  <c r="I25" i="5"/>
  <c r="G50" i="5"/>
  <c r="I51" i="5"/>
  <c r="I55" i="5"/>
  <c r="I61" i="5"/>
  <c r="G61" i="5"/>
  <c r="I77" i="5"/>
  <c r="I83" i="5"/>
  <c r="G122" i="5"/>
  <c r="I123" i="5"/>
  <c r="I127" i="5"/>
  <c r="I133" i="5"/>
  <c r="G133" i="5"/>
  <c r="I149" i="5"/>
  <c r="I155" i="5"/>
  <c r="G194" i="5"/>
  <c r="I195" i="5"/>
  <c r="I205" i="5"/>
  <c r="G205" i="5"/>
  <c r="I221" i="5"/>
  <c r="I227" i="5"/>
  <c r="I158" i="5"/>
  <c r="I168" i="5"/>
  <c r="I37" i="5"/>
  <c r="I2" i="5"/>
  <c r="I6" i="5"/>
  <c r="I26" i="5"/>
  <c r="I30" i="5"/>
  <c r="I38" i="5"/>
  <c r="I42" i="5"/>
  <c r="G51" i="5"/>
  <c r="I56" i="5"/>
  <c r="I62" i="5"/>
  <c r="I72" i="5"/>
  <c r="I78" i="5"/>
  <c r="I112" i="5"/>
  <c r="I117" i="5"/>
  <c r="G123" i="5"/>
  <c r="I128" i="5"/>
  <c r="I134" i="5"/>
  <c r="I144" i="5"/>
  <c r="I150" i="5"/>
  <c r="I184" i="5"/>
  <c r="I189" i="5"/>
  <c r="I200" i="5"/>
  <c r="I206" i="5"/>
  <c r="I216" i="5"/>
  <c r="I222" i="5"/>
  <c r="I18" i="5"/>
  <c r="G6" i="5"/>
  <c r="G18" i="5"/>
  <c r="G30" i="5"/>
  <c r="G42" i="5"/>
  <c r="G56" i="5"/>
  <c r="G62" i="5"/>
  <c r="I63" i="5"/>
  <c r="I67" i="5"/>
  <c r="I73" i="5"/>
  <c r="G73" i="5"/>
  <c r="I89" i="5"/>
  <c r="I95" i="5"/>
  <c r="G128" i="5"/>
  <c r="G134" i="5"/>
  <c r="I135" i="5"/>
  <c r="I139" i="5"/>
  <c r="I145" i="5"/>
  <c r="G145" i="5"/>
  <c r="I161" i="5"/>
  <c r="I167" i="5"/>
  <c r="G200" i="5"/>
  <c r="G206" i="5"/>
  <c r="I207" i="5"/>
  <c r="I211" i="5"/>
  <c r="I217" i="5"/>
  <c r="G217" i="5"/>
  <c r="H217" i="5" s="1" a="1"/>
  <c r="H217" i="5" s="1"/>
  <c r="I15" i="5"/>
  <c r="I97" i="5"/>
  <c r="G97" i="5"/>
  <c r="G3" i="5"/>
  <c r="G15" i="5"/>
  <c r="G27" i="5"/>
  <c r="G39" i="5"/>
  <c r="I57" i="5"/>
  <c r="G63" i="5"/>
  <c r="I68" i="5"/>
  <c r="I74" i="5"/>
  <c r="G79" i="5"/>
  <c r="H75" i="5" s="1" a="1"/>
  <c r="H75" i="5" s="1"/>
  <c r="I90" i="5"/>
  <c r="G96" i="5"/>
  <c r="I124" i="5"/>
  <c r="I129" i="5"/>
  <c r="G135" i="5"/>
  <c r="I140" i="5"/>
  <c r="I146" i="5"/>
  <c r="G151" i="5"/>
  <c r="I162" i="5"/>
  <c r="G168" i="5"/>
  <c r="H168" i="5" s="1" a="1"/>
  <c r="H168" i="5" s="1"/>
  <c r="I196" i="5"/>
  <c r="I201" i="5"/>
  <c r="G207" i="5"/>
  <c r="I212" i="5"/>
  <c r="I218" i="5"/>
  <c r="G223" i="5"/>
  <c r="H221" i="5" s="1" a="1"/>
  <c r="H221" i="5" s="1"/>
  <c r="I228" i="5"/>
  <c r="G235" i="5"/>
  <c r="H232" i="5" s="1" a="1"/>
  <c r="H232" i="5" s="1"/>
  <c r="I69" i="5"/>
  <c r="I174" i="5"/>
  <c r="I236" i="5"/>
  <c r="G236" i="5"/>
  <c r="I233" i="5"/>
  <c r="I20" i="5"/>
  <c r="I32" i="5"/>
  <c r="I41" i="5"/>
  <c r="I14" i="5"/>
  <c r="G7" i="5"/>
  <c r="I11" i="5"/>
  <c r="G11" i="5"/>
  <c r="G19" i="5"/>
  <c r="I23" i="5"/>
  <c r="G23" i="5"/>
  <c r="H23" i="5" s="1" a="1"/>
  <c r="H23" i="5" s="1"/>
  <c r="G31" i="5"/>
  <c r="I35" i="5"/>
  <c r="G35" i="5"/>
  <c r="G43" i="5"/>
  <c r="I47" i="5"/>
  <c r="G47" i="5"/>
  <c r="I52" i="5"/>
  <c r="G74" i="5"/>
  <c r="I75" i="5"/>
  <c r="I79" i="5"/>
  <c r="I85" i="5"/>
  <c r="G85" i="5"/>
  <c r="H84" i="5" s="1" a="1"/>
  <c r="H84" i="5" s="1"/>
  <c r="I101" i="5"/>
  <c r="I107" i="5"/>
  <c r="G140" i="5"/>
  <c r="G146" i="5"/>
  <c r="I147" i="5"/>
  <c r="I151" i="5"/>
  <c r="I157" i="5"/>
  <c r="G157" i="5"/>
  <c r="H157" i="5" s="1" a="1"/>
  <c r="H157" i="5" s="1"/>
  <c r="I173" i="5"/>
  <c r="I179" i="5"/>
  <c r="G212" i="5"/>
  <c r="H209" i="5" s="1" a="1"/>
  <c r="H209" i="5" s="1"/>
  <c r="G218" i="5"/>
  <c r="I219" i="5"/>
  <c r="I223" i="5"/>
  <c r="I229" i="5"/>
  <c r="G229" i="5"/>
  <c r="I235" i="5"/>
  <c r="I58" i="5"/>
  <c r="I70" i="5"/>
  <c r="I82" i="5"/>
  <c r="I94" i="5"/>
  <c r="I106" i="5"/>
  <c r="I118" i="5"/>
  <c r="I130" i="5"/>
  <c r="I142" i="5"/>
  <c r="I154" i="5"/>
  <c r="I166" i="5"/>
  <c r="I178" i="5"/>
  <c r="I190" i="5"/>
  <c r="I202" i="5"/>
  <c r="I214" i="5"/>
  <c r="I226" i="5"/>
  <c r="I238" i="5"/>
  <c r="G241" i="5"/>
  <c r="H241" i="5" s="1" a="1"/>
  <c r="H241" i="5" s="1"/>
  <c r="G59" i="5"/>
  <c r="H58" i="5" s="1" a="1"/>
  <c r="H58" i="5" s="1"/>
  <c r="G71" i="5"/>
  <c r="G83" i="5"/>
  <c r="G95" i="5"/>
  <c r="G107" i="5"/>
  <c r="G119" i="5"/>
  <c r="G131" i="5"/>
  <c r="H124" i="5" s="1" a="1"/>
  <c r="H124" i="5" s="1"/>
  <c r="G143" i="5"/>
  <c r="H143" i="5" s="1" a="1"/>
  <c r="H143" i="5" s="1"/>
  <c r="G155" i="5"/>
  <c r="G167" i="5"/>
  <c r="G179" i="5"/>
  <c r="H178" i="5" s="1" a="1"/>
  <c r="H178" i="5" s="1"/>
  <c r="G191" i="5"/>
  <c r="H190" i="5" s="1" a="1"/>
  <c r="H190" i="5" s="1"/>
  <c r="G203" i="5"/>
  <c r="H202" i="5" s="1" a="1"/>
  <c r="H202" i="5" s="1"/>
  <c r="G215" i="5"/>
  <c r="H214" i="5" s="1" a="1"/>
  <c r="H214" i="5" s="1"/>
  <c r="G227" i="5"/>
  <c r="G239" i="5"/>
  <c r="G57" i="5"/>
  <c r="G69" i="5"/>
  <c r="G81" i="5"/>
  <c r="G93" i="5"/>
  <c r="H93" i="5" s="1" a="1"/>
  <c r="H93" i="5" s="1"/>
  <c r="G105" i="5"/>
  <c r="G117" i="5"/>
  <c r="H114" i="5" s="1" a="1"/>
  <c r="H114" i="5" s="1"/>
  <c r="G129" i="5"/>
  <c r="G141" i="5"/>
  <c r="G153" i="5"/>
  <c r="G165" i="5"/>
  <c r="H160" i="5" s="1" a="1"/>
  <c r="H160" i="5" s="1"/>
  <c r="G177" i="5"/>
  <c r="G189" i="5"/>
  <c r="G201" i="5"/>
  <c r="G213" i="5"/>
  <c r="G225" i="5"/>
  <c r="I234" i="5"/>
  <c r="G237" i="5"/>
  <c r="H237" i="5" s="1" a="1"/>
  <c r="H237" i="5" s="1"/>
  <c r="I104" i="4"/>
  <c r="G104" i="4"/>
  <c r="H102" i="4" s="1" a="1"/>
  <c r="H102" i="4" s="1"/>
  <c r="I108" i="4"/>
  <c r="I60" i="4"/>
  <c r="I155" i="4"/>
  <c r="I11" i="4"/>
  <c r="G11" i="4"/>
  <c r="I10" i="4"/>
  <c r="I16" i="4"/>
  <c r="I39" i="4"/>
  <c r="I83" i="4"/>
  <c r="G83" i="4"/>
  <c r="I82" i="4"/>
  <c r="I88" i="4"/>
  <c r="G12" i="4"/>
  <c r="I17" i="4"/>
  <c r="G17" i="4"/>
  <c r="G26" i="4"/>
  <c r="I25" i="4"/>
  <c r="G25" i="4"/>
  <c r="I26" i="4"/>
  <c r="G39" i="4"/>
  <c r="H39" i="4" s="1" a="1"/>
  <c r="H39" i="4" s="1"/>
  <c r="I53" i="4"/>
  <c r="G53" i="4"/>
  <c r="H51" i="4" s="1" a="1"/>
  <c r="H51" i="4" s="1"/>
  <c r="G62" i="4"/>
  <c r="I61" i="4"/>
  <c r="G61" i="4"/>
  <c r="I62" i="4"/>
  <c r="G84" i="4"/>
  <c r="I89" i="4"/>
  <c r="G89" i="4"/>
  <c r="G98" i="4"/>
  <c r="I97" i="4"/>
  <c r="G97" i="4"/>
  <c r="H94" i="4" s="1" a="1"/>
  <c r="H94" i="4" s="1"/>
  <c r="I98" i="4"/>
  <c r="I102" i="4"/>
  <c r="I138" i="4"/>
  <c r="I154" i="4"/>
  <c r="I9" i="4"/>
  <c r="I32" i="4"/>
  <c r="G32" i="4"/>
  <c r="H28" i="4" s="1" a="1"/>
  <c r="H28" i="4" s="1"/>
  <c r="I68" i="4"/>
  <c r="G68" i="4"/>
  <c r="G158" i="4"/>
  <c r="I157" i="4"/>
  <c r="G157" i="4"/>
  <c r="I158" i="4"/>
  <c r="I153" i="4"/>
  <c r="I164" i="4"/>
  <c r="G164" i="4"/>
  <c r="I96" i="4"/>
  <c r="I115" i="4"/>
  <c r="I130" i="4"/>
  <c r="I3" i="4"/>
  <c r="I47" i="4"/>
  <c r="G47" i="4"/>
  <c r="I46" i="4"/>
  <c r="I52" i="4"/>
  <c r="G4" i="4"/>
  <c r="I8" i="4"/>
  <c r="G8" i="4"/>
  <c r="H7" i="4" s="1" a="1"/>
  <c r="H7" i="4" s="1"/>
  <c r="I21" i="4"/>
  <c r="G40" i="4"/>
  <c r="I44" i="4"/>
  <c r="G44" i="4"/>
  <c r="I57" i="4"/>
  <c r="G76" i="4"/>
  <c r="I80" i="4"/>
  <c r="G80" i="4"/>
  <c r="H79" i="4" s="1" a="1"/>
  <c r="H79" i="4" s="1"/>
  <c r="I93" i="4"/>
  <c r="G112" i="4"/>
  <c r="G122" i="4"/>
  <c r="H114" i="4" s="1" a="1"/>
  <c r="H114" i="4" s="1"/>
  <c r="I121" i="4"/>
  <c r="G121" i="4"/>
  <c r="I122" i="4"/>
  <c r="I132" i="4"/>
  <c r="I150" i="4"/>
  <c r="I174" i="4"/>
  <c r="I75" i="4"/>
  <c r="I111" i="4"/>
  <c r="G115" i="4"/>
  <c r="I116" i="4"/>
  <c r="G116" i="4"/>
  <c r="I120" i="4"/>
  <c r="I142" i="4"/>
  <c r="I12" i="4"/>
  <c r="G31" i="4"/>
  <c r="H30" i="4" s="1" a="1"/>
  <c r="H30" i="4" s="1"/>
  <c r="I48" i="4"/>
  <c r="G67" i="4"/>
  <c r="I84" i="4"/>
  <c r="G103" i="4"/>
  <c r="G127" i="4"/>
  <c r="H126" i="4" s="1" a="1"/>
  <c r="H126" i="4" s="1"/>
  <c r="I128" i="4"/>
  <c r="G128" i="4"/>
  <c r="I144" i="4"/>
  <c r="I162" i="4"/>
  <c r="I27" i="4"/>
  <c r="I35" i="4"/>
  <c r="G35" i="4"/>
  <c r="I34" i="4"/>
  <c r="I40" i="4"/>
  <c r="I63" i="4"/>
  <c r="I76" i="4"/>
  <c r="I71" i="4"/>
  <c r="G71" i="4"/>
  <c r="H70" i="4" s="1" a="1"/>
  <c r="H70" i="4" s="1"/>
  <c r="I70" i="4"/>
  <c r="I99" i="4"/>
  <c r="I107" i="4"/>
  <c r="G107" i="4"/>
  <c r="I106" i="4"/>
  <c r="I112" i="4"/>
  <c r="I113" i="4"/>
  <c r="G113" i="4"/>
  <c r="I123" i="4"/>
  <c r="G134" i="4"/>
  <c r="I133" i="4"/>
  <c r="G133" i="4"/>
  <c r="I134" i="4"/>
  <c r="I129" i="4"/>
  <c r="G139" i="4"/>
  <c r="I140" i="4"/>
  <c r="G140" i="4"/>
  <c r="I151" i="4"/>
  <c r="I156" i="4"/>
  <c r="G163" i="4"/>
  <c r="G182" i="4"/>
  <c r="I179" i="4"/>
  <c r="I183" i="4"/>
  <c r="I178" i="4"/>
  <c r="G183" i="4"/>
  <c r="I180" i="4"/>
  <c r="I182" i="4"/>
  <c r="I5" i="4"/>
  <c r="G5" i="4"/>
  <c r="G14" i="4"/>
  <c r="I13" i="4"/>
  <c r="G13" i="4"/>
  <c r="I14" i="4"/>
  <c r="G27" i="4"/>
  <c r="I31" i="4"/>
  <c r="G36" i="4"/>
  <c r="I41" i="4"/>
  <c r="G41" i="4"/>
  <c r="G50" i="4"/>
  <c r="I49" i="4"/>
  <c r="G49" i="4"/>
  <c r="I50" i="4"/>
  <c r="G63" i="4"/>
  <c r="I67" i="4"/>
  <c r="G72" i="4"/>
  <c r="I77" i="4"/>
  <c r="G77" i="4"/>
  <c r="H77" i="4" s="1" a="1"/>
  <c r="H77" i="4" s="1"/>
  <c r="G86" i="4"/>
  <c r="I85" i="4"/>
  <c r="G85" i="4"/>
  <c r="I86" i="4"/>
  <c r="G99" i="4"/>
  <c r="I103" i="4"/>
  <c r="G108" i="4"/>
  <c r="G123" i="4"/>
  <c r="I135" i="4"/>
  <c r="G146" i="4"/>
  <c r="I145" i="4"/>
  <c r="G145" i="4"/>
  <c r="H144" i="4" s="1" a="1"/>
  <c r="H144" i="4" s="1"/>
  <c r="I146" i="4"/>
  <c r="I141" i="4"/>
  <c r="G151" i="4"/>
  <c r="H150" i="4" s="1" a="1"/>
  <c r="H150" i="4" s="1"/>
  <c r="I152" i="4"/>
  <c r="G152" i="4"/>
  <c r="I163" i="4"/>
  <c r="I176" i="4"/>
  <c r="G176" i="4"/>
  <c r="I4" i="4"/>
  <c r="H135" i="4" a="1"/>
  <c r="H135" i="4" s="1"/>
  <c r="I72" i="4"/>
  <c r="I159" i="4"/>
  <c r="I15" i="4"/>
  <c r="I23" i="4"/>
  <c r="G23" i="4"/>
  <c r="I22" i="4"/>
  <c r="I59" i="4"/>
  <c r="G59" i="4"/>
  <c r="H57" i="4" s="1" a="1"/>
  <c r="H57" i="4" s="1"/>
  <c r="I58" i="4"/>
  <c r="I64" i="4"/>
  <c r="I87" i="4"/>
  <c r="I95" i="4"/>
  <c r="G95" i="4"/>
  <c r="I94" i="4"/>
  <c r="I114" i="4"/>
  <c r="I124" i="4"/>
  <c r="G124" i="4"/>
  <c r="I125" i="4"/>
  <c r="G125" i="4"/>
  <c r="H125" i="4" s="1" a="1"/>
  <c r="H125" i="4" s="1"/>
  <c r="G159" i="4"/>
  <c r="H156" i="4" s="1" a="1"/>
  <c r="H156" i="4" s="1"/>
  <c r="G2" i="4"/>
  <c r="I2" i="4"/>
  <c r="I6" i="4"/>
  <c r="G15" i="4"/>
  <c r="I19" i="4"/>
  <c r="G24" i="4"/>
  <c r="I29" i="4"/>
  <c r="G29" i="4"/>
  <c r="G38" i="4"/>
  <c r="I37" i="4"/>
  <c r="G37" i="4"/>
  <c r="I38" i="4"/>
  <c r="I42" i="4"/>
  <c r="I55" i="4"/>
  <c r="G60" i="4"/>
  <c r="I65" i="4"/>
  <c r="G65" i="4"/>
  <c r="G74" i="4"/>
  <c r="I73" i="4"/>
  <c r="G73" i="4"/>
  <c r="I74" i="4"/>
  <c r="I78" i="4"/>
  <c r="G87" i="4"/>
  <c r="I91" i="4"/>
  <c r="G96" i="4"/>
  <c r="I101" i="4"/>
  <c r="G101" i="4"/>
  <c r="G110" i="4"/>
  <c r="I109" i="4"/>
  <c r="G109" i="4"/>
  <c r="I110" i="4"/>
  <c r="I119" i="4"/>
  <c r="I131" i="4"/>
  <c r="I136" i="4"/>
  <c r="I160" i="4"/>
  <c r="G171" i="4"/>
  <c r="I36" i="4"/>
  <c r="G147" i="4"/>
  <c r="G170" i="4"/>
  <c r="I167" i="4"/>
  <c r="G169" i="4"/>
  <c r="H168" i="4" s="1" a="1"/>
  <c r="H168" i="4" s="1"/>
  <c r="I166" i="4"/>
  <c r="I170" i="4"/>
  <c r="I28" i="4"/>
  <c r="I51" i="4"/>
  <c r="I100" i="4"/>
  <c r="I20" i="4"/>
  <c r="G20" i="4"/>
  <c r="I33" i="4"/>
  <c r="I56" i="4"/>
  <c r="G56" i="4"/>
  <c r="I69" i="4"/>
  <c r="I92" i="4"/>
  <c r="G92" i="4"/>
  <c r="I105" i="4"/>
  <c r="I143" i="4"/>
  <c r="I148" i="4"/>
  <c r="I172" i="4"/>
  <c r="G194" i="4"/>
  <c r="H194" i="4" s="1" a="1"/>
  <c r="H194" i="4" s="1"/>
  <c r="I191" i="4"/>
  <c r="I195" i="4"/>
  <c r="I190" i="4"/>
  <c r="G195" i="4"/>
  <c r="I192" i="4"/>
  <c r="I194" i="4"/>
  <c r="G137" i="4"/>
  <c r="G149" i="4"/>
  <c r="G161" i="4"/>
  <c r="G173" i="4"/>
  <c r="H165" i="4" s="1" a="1"/>
  <c r="H165" i="4" s="1"/>
  <c r="G185" i="4"/>
  <c r="G197" i="4"/>
  <c r="H197" i="4" s="1" a="1"/>
  <c r="H197" i="4" s="1"/>
  <c r="G202" i="4"/>
  <c r="G239" i="4"/>
  <c r="H206" i="4" s="1" a="1"/>
  <c r="H206" i="4" s="1"/>
  <c r="I137" i="4"/>
  <c r="I149" i="4"/>
  <c r="I161" i="4"/>
  <c r="I173" i="4"/>
  <c r="I185" i="4"/>
  <c r="G188" i="4"/>
  <c r="H187" i="4" s="1" a="1"/>
  <c r="H187" i="4" s="1"/>
  <c r="G200" i="4"/>
  <c r="I118" i="4"/>
  <c r="G205" i="4"/>
  <c r="G174" i="4"/>
  <c r="H174" i="4" s="1" a="1"/>
  <c r="H174" i="4" s="1"/>
  <c r="G186" i="4"/>
  <c r="G198" i="4"/>
  <c r="G131" i="4"/>
  <c r="G143" i="4"/>
  <c r="G155" i="4"/>
  <c r="G136" i="4"/>
  <c r="G148" i="4"/>
  <c r="I169" i="4"/>
  <c r="G172" i="4"/>
  <c r="I181" i="4"/>
  <c r="G184" i="4"/>
  <c r="H175" i="4" s="1" a="1"/>
  <c r="H175" i="4" s="1"/>
  <c r="I193" i="4"/>
  <c r="G196" i="4"/>
  <c r="G177" i="4"/>
  <c r="G189" i="4"/>
  <c r="G201" i="4"/>
  <c r="G241" i="4"/>
  <c r="H29" i="5" l="1" a="1"/>
  <c r="H29" i="5" s="1"/>
  <c r="H81" i="5" a="1"/>
  <c r="H81" i="5" s="1"/>
  <c r="H123" i="5" a="1"/>
  <c r="H123" i="5" s="1"/>
  <c r="H210" i="5" a="1"/>
  <c r="H210" i="5" s="1"/>
  <c r="H88" i="5" a="1"/>
  <c r="H88" i="5" s="1"/>
  <c r="H132" i="5" a="1"/>
  <c r="H132" i="5" s="1"/>
  <c r="H17" i="5" a="1"/>
  <c r="H17" i="5" s="1"/>
  <c r="H181" i="5" a="1"/>
  <c r="H181" i="5" s="1"/>
  <c r="H208" i="5" a="1"/>
  <c r="H208" i="5" s="1"/>
  <c r="H233" i="5" a="1"/>
  <c r="H233" i="5" s="1"/>
  <c r="H219" i="5" a="1"/>
  <c r="H219" i="5" s="1"/>
  <c r="H213" i="5" a="1"/>
  <c r="H213" i="5" s="1"/>
  <c r="H69" i="5" a="1"/>
  <c r="H69" i="5" s="1"/>
  <c r="H65" i="5" a="1"/>
  <c r="H65" i="5" s="1"/>
  <c r="H119" i="5" a="1"/>
  <c r="H119" i="5" s="1"/>
  <c r="H118" i="5" a="1"/>
  <c r="H118" i="5" s="1"/>
  <c r="H229" i="5" a="1"/>
  <c r="H229" i="5" s="1"/>
  <c r="H19" i="5" a="1"/>
  <c r="H19" i="5" s="1"/>
  <c r="H163" i="5" a="1"/>
  <c r="H163" i="5" s="1"/>
  <c r="H151" i="5" a="1"/>
  <c r="H151" i="5" s="1"/>
  <c r="H134" i="5" a="1"/>
  <c r="H134" i="5" s="1"/>
  <c r="H42" i="5" a="1"/>
  <c r="H42" i="5" s="1"/>
  <c r="H211" i="5" a="1"/>
  <c r="H211" i="5" s="1"/>
  <c r="H205" i="5" a="1"/>
  <c r="H205" i="5" s="1"/>
  <c r="H50" i="5" a="1"/>
  <c r="H50" i="5" s="1"/>
  <c r="H72" i="5" a="1"/>
  <c r="H72" i="5" s="1"/>
  <c r="H182" i="5" a="1"/>
  <c r="H182" i="5" s="1"/>
  <c r="H180" i="5" a="1"/>
  <c r="H180" i="5" s="1"/>
  <c r="H5" i="5" a="1"/>
  <c r="H5" i="5" s="1"/>
  <c r="H98" i="5" a="1"/>
  <c r="H98" i="5" s="1"/>
  <c r="H103" i="5" a="1"/>
  <c r="H103" i="5" s="1"/>
  <c r="H147" i="5" a="1"/>
  <c r="H147" i="5" s="1"/>
  <c r="H225" i="5" a="1"/>
  <c r="H225" i="5" s="1"/>
  <c r="H201" i="5" a="1"/>
  <c r="H201" i="5" s="1"/>
  <c r="H57" i="5" a="1"/>
  <c r="H57" i="5" s="1"/>
  <c r="H107" i="5" a="1"/>
  <c r="H107" i="5" s="1"/>
  <c r="H74" i="5" a="1"/>
  <c r="H74" i="5" s="1"/>
  <c r="H11" i="5" a="1"/>
  <c r="H11" i="5" s="1"/>
  <c r="H39" i="5" a="1"/>
  <c r="H39" i="5" s="1"/>
  <c r="H128" i="5" a="1"/>
  <c r="H128" i="5" s="1"/>
  <c r="H38" i="5" a="1"/>
  <c r="H38" i="5" s="1"/>
  <c r="H122" i="5" a="1"/>
  <c r="H122" i="5" s="1"/>
  <c r="H183" i="5" a="1"/>
  <c r="H183" i="5" s="1"/>
  <c r="H176" i="5" a="1"/>
  <c r="H176" i="5" s="1"/>
  <c r="H115" i="5" a="1"/>
  <c r="H115" i="5" s="1"/>
  <c r="H92" i="5" a="1"/>
  <c r="H92" i="5" s="1"/>
  <c r="H169" i="5" a="1"/>
  <c r="H169" i="5" s="1"/>
  <c r="H189" i="5" a="1"/>
  <c r="H189" i="5" s="1"/>
  <c r="H239" i="5" a="1"/>
  <c r="H239" i="5" s="1"/>
  <c r="H95" i="5" a="1"/>
  <c r="H95" i="5" s="1"/>
  <c r="H94" i="5" a="1"/>
  <c r="H94" i="5" s="1"/>
  <c r="H146" i="5" a="1"/>
  <c r="H146" i="5" s="1"/>
  <c r="H68" i="5" a="1"/>
  <c r="H68" i="5" s="1"/>
  <c r="H235" i="5" a="1"/>
  <c r="H235" i="5" s="1"/>
  <c r="H27" i="5" a="1"/>
  <c r="H27" i="5" s="1"/>
  <c r="H206" i="5" a="1"/>
  <c r="H206" i="5" s="1"/>
  <c r="H112" i="5" a="1"/>
  <c r="H112" i="5" s="1"/>
  <c r="H30" i="5" a="1"/>
  <c r="H30" i="5" s="1"/>
  <c r="H116" i="5" a="1"/>
  <c r="H116" i="5" s="1"/>
  <c r="H55" i="5" a="1"/>
  <c r="H55" i="5" s="1"/>
  <c r="H54" i="5" a="1"/>
  <c r="H54" i="5" s="1"/>
  <c r="H204" i="5" a="1"/>
  <c r="H204" i="5" s="1"/>
  <c r="H76" i="5" a="1"/>
  <c r="H76" i="5" s="1"/>
  <c r="H174" i="5" a="1"/>
  <c r="H174" i="5" s="1"/>
  <c r="H149" i="5" a="1"/>
  <c r="H149" i="5" s="1"/>
  <c r="H120" i="5" a="1"/>
  <c r="H120" i="5" s="1"/>
  <c r="H56" i="5" a="1"/>
  <c r="H56" i="5" s="1"/>
  <c r="H177" i="5" a="1"/>
  <c r="H177" i="5" s="1"/>
  <c r="H227" i="5" a="1"/>
  <c r="H227" i="5" s="1"/>
  <c r="H83" i="5" a="1"/>
  <c r="H83" i="5" s="1"/>
  <c r="H82" i="5" a="1"/>
  <c r="H82" i="5" s="1"/>
  <c r="H140" i="5" a="1"/>
  <c r="H140" i="5" s="1"/>
  <c r="H7" i="5" a="1"/>
  <c r="H7" i="5" s="1"/>
  <c r="H135" i="5" a="1"/>
  <c r="H135" i="5" s="1"/>
  <c r="H15" i="5" a="1"/>
  <c r="H15" i="5" s="1"/>
  <c r="H200" i="5" a="1"/>
  <c r="H200" i="5" s="1"/>
  <c r="H26" i="5" a="1"/>
  <c r="H26" i="5" s="1"/>
  <c r="H194" i="5" a="1"/>
  <c r="H194" i="5" s="1"/>
  <c r="H100" i="5" a="1"/>
  <c r="H100" i="5" s="1"/>
  <c r="H170" i="5" a="1"/>
  <c r="H170" i="5" s="1"/>
  <c r="H87" i="5" a="1"/>
  <c r="H87" i="5" s="1"/>
  <c r="H130" i="5" a="1"/>
  <c r="H130" i="5" s="1"/>
  <c r="H185" i="5" a="1"/>
  <c r="H185" i="5" s="1"/>
  <c r="H63" i="5" a="1"/>
  <c r="H63" i="5" s="1"/>
  <c r="H165" i="5" a="1"/>
  <c r="H165" i="5" s="1"/>
  <c r="H215" i="5" a="1"/>
  <c r="H215" i="5" s="1"/>
  <c r="H71" i="5" a="1"/>
  <c r="H71" i="5" s="1"/>
  <c r="H70" i="5" a="1"/>
  <c r="H70" i="5" s="1"/>
  <c r="H218" i="5" a="1"/>
  <c r="H218" i="5" s="1"/>
  <c r="H47" i="5" a="1"/>
  <c r="H47" i="5" s="1"/>
  <c r="H223" i="5" a="1"/>
  <c r="H223" i="5" s="1"/>
  <c r="H3" i="5" a="1"/>
  <c r="H3" i="5" s="1"/>
  <c r="H184" i="5" a="1"/>
  <c r="H184" i="5" s="1"/>
  <c r="H18" i="5" a="1"/>
  <c r="H18" i="5" s="1"/>
  <c r="H102" i="5" a="1"/>
  <c r="H102" i="5" s="1"/>
  <c r="H188" i="5" a="1"/>
  <c r="H188" i="5" s="1"/>
  <c r="H89" i="5" a="1"/>
  <c r="H89" i="5" s="1"/>
  <c r="H144" i="5" a="1"/>
  <c r="H144" i="5" s="1"/>
  <c r="H16" i="5" a="1"/>
  <c r="H16" i="5" s="1"/>
  <c r="H45" i="5" a="1"/>
  <c r="H45" i="5" s="1"/>
  <c r="H99" i="5" a="1"/>
  <c r="H99" i="5" s="1"/>
  <c r="H164" i="5" a="1"/>
  <c r="H164" i="5" s="1"/>
  <c r="H175" i="5" a="1"/>
  <c r="H175" i="5" s="1"/>
  <c r="H86" i="5" a="1"/>
  <c r="H86" i="5" s="1"/>
  <c r="H158" i="5" a="1"/>
  <c r="H158" i="5" s="1"/>
  <c r="H125" i="5" a="1"/>
  <c r="H125" i="5" s="1"/>
  <c r="H62" i="5" a="1"/>
  <c r="H62" i="5" s="1"/>
  <c r="H199" i="5" a="1"/>
  <c r="H199" i="5" s="1"/>
  <c r="H9" i="5" a="1"/>
  <c r="H9" i="5" s="1"/>
  <c r="H154" i="5" a="1"/>
  <c r="H154" i="5" s="1"/>
  <c r="H153" i="5" a="1"/>
  <c r="H153" i="5" s="1"/>
  <c r="H203" i="5" a="1"/>
  <c r="H203" i="5" s="1"/>
  <c r="H59" i="5" a="1"/>
  <c r="H59" i="5" s="1"/>
  <c r="H212" i="5" a="1"/>
  <c r="H212" i="5" s="1"/>
  <c r="H113" i="5" a="1"/>
  <c r="H113" i="5" s="1"/>
  <c r="H97" i="5" a="1"/>
  <c r="H97" i="5" s="1"/>
  <c r="H78" i="5" a="1"/>
  <c r="H78" i="5" s="1"/>
  <c r="H14" i="5" a="1"/>
  <c r="H14" i="5" s="1"/>
  <c r="H156" i="5" a="1"/>
  <c r="H156" i="5" s="1"/>
  <c r="H67" i="5" a="1"/>
  <c r="H67" i="5" s="1"/>
  <c r="H12" i="5" a="1"/>
  <c r="H12" i="5" s="1"/>
  <c r="H172" i="5" a="1"/>
  <c r="H172" i="5" s="1"/>
  <c r="H187" i="5" a="1"/>
  <c r="H187" i="5" s="1"/>
  <c r="H24" i="5" a="1"/>
  <c r="H24" i="5" s="1"/>
  <c r="H148" i="5" a="1"/>
  <c r="H148" i="5" s="1"/>
  <c r="H28" i="5" a="1"/>
  <c r="H28" i="5" s="1"/>
  <c r="H64" i="5" a="1"/>
  <c r="H64" i="5" s="1"/>
  <c r="H152" i="5" a="1"/>
  <c r="H152" i="5" s="1"/>
  <c r="H46" i="5" a="1"/>
  <c r="H46" i="5" s="1"/>
  <c r="H137" i="5" a="1"/>
  <c r="H137" i="5" s="1"/>
  <c r="H106" i="5" a="1"/>
  <c r="H106" i="5" s="1"/>
  <c r="H20" i="5" a="1"/>
  <c r="H20" i="5" s="1"/>
  <c r="H131" i="5" a="1"/>
  <c r="H131" i="5" s="1"/>
  <c r="H191" i="5" a="1"/>
  <c r="H191" i="5" s="1"/>
  <c r="H43" i="5" a="1"/>
  <c r="H43" i="5" s="1"/>
  <c r="H73" i="5" a="1"/>
  <c r="H73" i="5" s="1"/>
  <c r="H6" i="5" a="1"/>
  <c r="H6" i="5" s="1"/>
  <c r="H91" i="5" a="1"/>
  <c r="H91" i="5" s="1"/>
  <c r="H127" i="5" a="1"/>
  <c r="H127" i="5" s="1"/>
  <c r="H121" i="5" a="1"/>
  <c r="H121" i="5" s="1"/>
  <c r="H33" i="5" a="1"/>
  <c r="H33" i="5" s="1"/>
  <c r="H44" i="5" a="1"/>
  <c r="H44" i="5" s="1"/>
  <c r="H36" i="5" a="1"/>
  <c r="H36" i="5" s="1"/>
  <c r="H136" i="5" a="1"/>
  <c r="H136" i="5" s="1"/>
  <c r="H37" i="5" a="1"/>
  <c r="H37" i="5" s="1"/>
  <c r="H53" i="5" a="1"/>
  <c r="H53" i="5" s="1"/>
  <c r="H226" i="5" a="1"/>
  <c r="H226" i="5" s="1"/>
  <c r="H186" i="5" a="1"/>
  <c r="H186" i="5" s="1"/>
  <c r="H141" i="5" a="1"/>
  <c r="H141" i="5" s="1"/>
  <c r="H96" i="5" a="1"/>
  <c r="H96" i="5" s="1"/>
  <c r="H129" i="5" a="1"/>
  <c r="H129" i="5" s="1"/>
  <c r="H179" i="5" a="1"/>
  <c r="H179" i="5" s="1"/>
  <c r="H35" i="5" a="1"/>
  <c r="H35" i="5" s="1"/>
  <c r="H207" i="5" a="1"/>
  <c r="H207" i="5" s="1"/>
  <c r="H150" i="5" a="1"/>
  <c r="H150" i="5" s="1"/>
  <c r="H2" i="5" a="1"/>
  <c r="H2" i="5" s="1"/>
  <c r="H66" i="5" a="1"/>
  <c r="H66" i="5" s="1"/>
  <c r="H240" i="5" a="1"/>
  <c r="H240" i="5" s="1"/>
  <c r="H60" i="5" a="1"/>
  <c r="H60" i="5" s="1"/>
  <c r="H220" i="5" a="1"/>
  <c r="H220" i="5" s="1"/>
  <c r="H4" i="5" a="1"/>
  <c r="H4" i="5" s="1"/>
  <c r="H159" i="5" a="1"/>
  <c r="H159" i="5" s="1"/>
  <c r="H52" i="5" a="1"/>
  <c r="H52" i="5" s="1"/>
  <c r="H10" i="5" a="1"/>
  <c r="H10" i="5" s="1"/>
  <c r="H34" i="5" a="1"/>
  <c r="H34" i="5" s="1"/>
  <c r="H22" i="5" a="1"/>
  <c r="H22" i="5" s="1"/>
  <c r="H196" i="5" a="1"/>
  <c r="H196" i="5" s="1"/>
  <c r="H117" i="5" a="1"/>
  <c r="H117" i="5" s="1"/>
  <c r="H167" i="5" a="1"/>
  <c r="H167" i="5" s="1"/>
  <c r="H166" i="5" a="1"/>
  <c r="H166" i="5" s="1"/>
  <c r="H90" i="5" a="1"/>
  <c r="H90" i="5" s="1"/>
  <c r="H79" i="5" a="1"/>
  <c r="H79" i="5" s="1"/>
  <c r="H77" i="5" a="1"/>
  <c r="H77" i="5" s="1"/>
  <c r="H234" i="5" a="1"/>
  <c r="H234" i="5" s="1"/>
  <c r="H145" i="5" a="1"/>
  <c r="H145" i="5" s="1"/>
  <c r="H139" i="5" a="1"/>
  <c r="H139" i="5" s="1"/>
  <c r="H51" i="5" a="1"/>
  <c r="H51" i="5" s="1"/>
  <c r="H48" i="5" a="1"/>
  <c r="H48" i="5" s="1"/>
  <c r="H138" i="5" a="1"/>
  <c r="H138" i="5" s="1"/>
  <c r="H61" i="5" a="1"/>
  <c r="H61" i="5" s="1"/>
  <c r="H216" i="5" a="1"/>
  <c r="H216" i="5" s="1"/>
  <c r="H198" i="5" a="1"/>
  <c r="H198" i="5" s="1"/>
  <c r="H21" i="5" a="1"/>
  <c r="H21" i="5" s="1"/>
  <c r="H171" i="5" a="1"/>
  <c r="H171" i="5" s="1"/>
  <c r="H49" i="5" a="1"/>
  <c r="H49" i="5" s="1"/>
  <c r="H109" i="5" a="1"/>
  <c r="H109" i="5" s="1"/>
  <c r="H80" i="5" a="1"/>
  <c r="H80" i="5" s="1"/>
  <c r="H32" i="5" a="1"/>
  <c r="H32" i="5" s="1"/>
  <c r="H197" i="5" a="1"/>
  <c r="H197" i="5" s="1"/>
  <c r="H25" i="5" a="1"/>
  <c r="H25" i="5" s="1"/>
  <c r="H13" i="5" a="1"/>
  <c r="H13" i="5" s="1"/>
  <c r="H101" i="5" a="1"/>
  <c r="H101" i="5" s="1"/>
  <c r="H105" i="5" a="1"/>
  <c r="H105" i="5" s="1"/>
  <c r="H155" i="5" a="1"/>
  <c r="H155" i="5" s="1"/>
  <c r="H162" i="5" a="1"/>
  <c r="H162" i="5" s="1"/>
  <c r="H85" i="5" a="1"/>
  <c r="H85" i="5" s="1"/>
  <c r="H31" i="5" a="1"/>
  <c r="H31" i="5" s="1"/>
  <c r="H236" i="5" a="1"/>
  <c r="H236" i="5" s="1"/>
  <c r="H222" i="5" a="1"/>
  <c r="H222" i="5" s="1"/>
  <c r="H228" i="5" a="1"/>
  <c r="H228" i="5" s="1"/>
  <c r="H133" i="5" a="1"/>
  <c r="H133" i="5" s="1"/>
  <c r="H111" i="5" a="1"/>
  <c r="H111" i="5" s="1"/>
  <c r="H193" i="5" a="1"/>
  <c r="H193" i="5" s="1"/>
  <c r="H110" i="5" a="1"/>
  <c r="H110" i="5" s="1"/>
  <c r="H41" i="5" a="1"/>
  <c r="H41" i="5" s="1"/>
  <c r="H230" i="5" a="1"/>
  <c r="H230" i="5" s="1"/>
  <c r="H195" i="5" a="1"/>
  <c r="H195" i="5" s="1"/>
  <c r="H238" i="5" a="1"/>
  <c r="H238" i="5" s="1"/>
  <c r="H142" i="5" a="1"/>
  <c r="H142" i="5" s="1"/>
  <c r="H67" i="4" a="1"/>
  <c r="H67" i="4" s="1"/>
  <c r="H66" i="4" a="1"/>
  <c r="H66" i="4" s="1"/>
  <c r="H108" i="4" a="1"/>
  <c r="H108" i="4" s="1"/>
  <c r="H17" i="4" a="1"/>
  <c r="H17" i="4" s="1"/>
  <c r="H16" i="4" a="1"/>
  <c r="H16" i="4" s="1"/>
  <c r="H110" i="4" a="1"/>
  <c r="H110" i="4" s="1"/>
  <c r="H152" i="4" a="1"/>
  <c r="H152" i="4" s="1"/>
  <c r="H49" i="4" a="1"/>
  <c r="H49" i="4" s="1"/>
  <c r="H5" i="4" a="1"/>
  <c r="H5" i="4" s="1"/>
  <c r="H140" i="4" a="1"/>
  <c r="H140" i="4" s="1"/>
  <c r="H54" i="4" a="1"/>
  <c r="H54" i="4" s="1"/>
  <c r="H162" i="4" a="1"/>
  <c r="H162" i="4" s="1"/>
  <c r="H48" i="4" a="1"/>
  <c r="H48" i="4" s="1"/>
  <c r="H46" i="4" a="1"/>
  <c r="H46" i="4" s="1"/>
  <c r="H20" i="4" a="1"/>
  <c r="H20" i="4" s="1"/>
  <c r="H134" i="4" a="1"/>
  <c r="H134" i="4" s="1"/>
  <c r="H137" i="4" a="1"/>
  <c r="H137" i="4" s="1"/>
  <c r="H155" i="4" a="1"/>
  <c r="H155" i="4" s="1"/>
  <c r="H92" i="4" a="1"/>
  <c r="H92" i="4" s="1"/>
  <c r="H69" i="4" a="1"/>
  <c r="H69" i="4" s="1"/>
  <c r="H101" i="4" a="1"/>
  <c r="H101" i="4" s="1"/>
  <c r="H60" i="4" a="1"/>
  <c r="H60" i="4" s="1"/>
  <c r="H95" i="4" a="1"/>
  <c r="H95" i="4" s="1"/>
  <c r="H99" i="4" a="1"/>
  <c r="H99" i="4" s="1"/>
  <c r="H107" i="4" a="1"/>
  <c r="H107" i="4" s="1"/>
  <c r="H45" i="4" a="1"/>
  <c r="H45" i="4" s="1"/>
  <c r="H116" i="4" a="1"/>
  <c r="H116" i="4" s="1"/>
  <c r="H76" i="4" a="1"/>
  <c r="H76" i="4" s="1"/>
  <c r="H61" i="4" a="1"/>
  <c r="H61" i="4" s="1"/>
  <c r="H12" i="4" a="1"/>
  <c r="H12" i="4" s="1"/>
  <c r="H91" i="4" a="1"/>
  <c r="H91" i="4" s="1"/>
  <c r="H104" i="4" a="1"/>
  <c r="H104" i="4" s="1"/>
  <c r="H205" i="4" a="1"/>
  <c r="H205" i="4" s="1"/>
  <c r="H204" i="4" a="1"/>
  <c r="H204" i="4" s="1"/>
  <c r="H146" i="4" a="1"/>
  <c r="H146" i="4" s="1"/>
  <c r="H147" i="4" a="1"/>
  <c r="H147" i="4" s="1"/>
  <c r="H23" i="4" a="1"/>
  <c r="H23" i="4" s="1"/>
  <c r="H167" i="4" a="1"/>
  <c r="H167" i="4" s="1"/>
  <c r="H136" i="4" a="1"/>
  <c r="H136" i="4" s="1"/>
  <c r="H201" i="4" a="1"/>
  <c r="H201" i="4" s="1"/>
  <c r="H143" i="4" a="1"/>
  <c r="H143" i="4" s="1"/>
  <c r="H195" i="4" a="1"/>
  <c r="H195" i="4" s="1"/>
  <c r="H141" i="4" a="1"/>
  <c r="H141" i="4" s="1"/>
  <c r="H6" i="4" a="1"/>
  <c r="H6" i="4" s="1"/>
  <c r="H151" i="4" a="1"/>
  <c r="H151" i="4" s="1"/>
  <c r="H50" i="4" a="1"/>
  <c r="H50" i="4" s="1"/>
  <c r="H139" i="4" a="1"/>
  <c r="H139" i="4" s="1"/>
  <c r="H128" i="4" a="1"/>
  <c r="H128" i="4" s="1"/>
  <c r="H47" i="4" a="1"/>
  <c r="H47" i="4" s="1"/>
  <c r="H157" i="4" a="1"/>
  <c r="H157" i="4" s="1"/>
  <c r="H138" i="4" a="1"/>
  <c r="H138" i="4" s="1"/>
  <c r="H22" i="4" a="1"/>
  <c r="H22" i="4" s="1"/>
  <c r="H19" i="4" a="1"/>
  <c r="H19" i="4" s="1"/>
  <c r="H122" i="4" a="1"/>
  <c r="H122" i="4" s="1"/>
  <c r="H105" i="4" a="1"/>
  <c r="H105" i="4" s="1"/>
  <c r="H11" i="4" a="1"/>
  <c r="H11" i="4" s="1"/>
  <c r="H15" i="4" a="1"/>
  <c r="H15" i="4" s="1"/>
  <c r="H189" i="4" a="1"/>
  <c r="H189" i="4" s="1"/>
  <c r="H131" i="4" a="1"/>
  <c r="H131" i="4" s="1"/>
  <c r="H42" i="4" a="1"/>
  <c r="H42" i="4" s="1"/>
  <c r="H96" i="4" a="1"/>
  <c r="H96" i="4" s="1"/>
  <c r="H2" i="4" a="1"/>
  <c r="H2" i="4" s="1"/>
  <c r="H85" i="4" a="1"/>
  <c r="H85" i="4" s="1"/>
  <c r="H41" i="4" a="1"/>
  <c r="H41" i="4" s="1"/>
  <c r="H115" i="4" a="1"/>
  <c r="H115" i="4" s="1"/>
  <c r="H44" i="4" a="1"/>
  <c r="H44" i="4" s="1"/>
  <c r="H62" i="4" a="1"/>
  <c r="H62" i="4" s="1"/>
  <c r="H10" i="4" a="1"/>
  <c r="H10" i="4" s="1"/>
  <c r="H142" i="4" a="1"/>
  <c r="H142" i="4" s="1"/>
  <c r="H97" i="4" a="1"/>
  <c r="H97" i="4" s="1"/>
  <c r="H185" i="4" a="1"/>
  <c r="H185" i="4" s="1"/>
  <c r="H59" i="4" a="1"/>
  <c r="H59" i="4" s="1"/>
  <c r="H18" i="4" a="1"/>
  <c r="H18" i="4" s="1"/>
  <c r="H75" i="4" a="1"/>
  <c r="H75" i="4" s="1"/>
  <c r="H148" i="4" a="1"/>
  <c r="H148" i="4" s="1"/>
  <c r="H65" i="4" a="1"/>
  <c r="H65" i="4" s="1"/>
  <c r="H84" i="4" a="1"/>
  <c r="H84" i="4" s="1"/>
  <c r="H177" i="4" a="1"/>
  <c r="H177" i="4" s="1"/>
  <c r="H198" i="4" a="1"/>
  <c r="H198" i="4" s="1"/>
  <c r="H56" i="4" a="1"/>
  <c r="H56" i="4" s="1"/>
  <c r="H171" i="4" a="1"/>
  <c r="H171" i="4" s="1"/>
  <c r="H193" i="4" a="1"/>
  <c r="H193" i="4" s="1"/>
  <c r="H78" i="4" a="1"/>
  <c r="H78" i="4" s="1"/>
  <c r="H153" i="4" a="1"/>
  <c r="H153" i="4" s="1"/>
  <c r="H183" i="4" a="1"/>
  <c r="H183" i="4" s="1"/>
  <c r="H90" i="4" a="1"/>
  <c r="H90" i="4" s="1"/>
  <c r="H35" i="4" a="1"/>
  <c r="H35" i="4" s="1"/>
  <c r="H127" i="4" a="1"/>
  <c r="H127" i="4" s="1"/>
  <c r="H158" i="4" a="1"/>
  <c r="H158" i="4" s="1"/>
  <c r="H53" i="4" a="1"/>
  <c r="H53" i="4" s="1"/>
  <c r="H52" i="4" a="1"/>
  <c r="H52" i="4" s="1"/>
  <c r="H184" i="4" a="1"/>
  <c r="H184" i="4" s="1"/>
  <c r="H38" i="4" a="1"/>
  <c r="H38" i="4" s="1"/>
  <c r="H71" i="4" a="1"/>
  <c r="H71" i="4" s="1"/>
  <c r="H120" i="4" a="1"/>
  <c r="H120" i="4" s="1"/>
  <c r="H14" i="4" a="1"/>
  <c r="H14" i="4" s="1"/>
  <c r="H80" i="4" a="1"/>
  <c r="H80" i="4" s="1"/>
  <c r="H106" i="4" a="1"/>
  <c r="H106" i="4" s="1"/>
  <c r="H196" i="4" a="1"/>
  <c r="H196" i="4" s="1"/>
  <c r="H186" i="4" a="1"/>
  <c r="H186" i="4" s="1"/>
  <c r="H202" i="4" a="1"/>
  <c r="H202" i="4" s="1"/>
  <c r="H192" i="4" a="1"/>
  <c r="H192" i="4" s="1"/>
  <c r="H87" i="4" a="1"/>
  <c r="H87" i="4" s="1"/>
  <c r="H37" i="4" a="1"/>
  <c r="H37" i="4" s="1"/>
  <c r="H159" i="4" a="1"/>
  <c r="H159" i="4" s="1"/>
  <c r="H119" i="4" a="1"/>
  <c r="H119" i="4" s="1"/>
  <c r="H145" i="4" a="1"/>
  <c r="H145" i="4" s="1"/>
  <c r="H86" i="4" a="1"/>
  <c r="H86" i="4" s="1"/>
  <c r="H36" i="4" a="1"/>
  <c r="H36" i="4" s="1"/>
  <c r="H133" i="4" a="1"/>
  <c r="H133" i="4" s="1"/>
  <c r="H81" i="4" a="1"/>
  <c r="H81" i="4" s="1"/>
  <c r="H103" i="4" a="1"/>
  <c r="H103" i="4" s="1"/>
  <c r="H93" i="4" a="1"/>
  <c r="H93" i="4" s="1"/>
  <c r="H121" i="4" a="1"/>
  <c r="H121" i="4" s="1"/>
  <c r="H118" i="4" a="1"/>
  <c r="H118" i="4" s="1"/>
  <c r="H40" i="4" a="1"/>
  <c r="H40" i="4" s="1"/>
  <c r="H68" i="4" a="1"/>
  <c r="H68" i="4" s="1"/>
  <c r="H83" i="4" a="1"/>
  <c r="H83" i="4" s="1"/>
  <c r="H154" i="4" a="1"/>
  <c r="H154" i="4" s="1"/>
  <c r="H34" i="4" a="1"/>
  <c r="H34" i="4" s="1"/>
  <c r="H166" i="4" a="1"/>
  <c r="H166" i="4" s="1"/>
  <c r="H160" i="4" a="1"/>
  <c r="H160" i="4" s="1"/>
  <c r="H27" i="4" a="1"/>
  <c r="H27" i="4" s="1"/>
  <c r="H8" i="4" a="1"/>
  <c r="H8" i="4" s="1"/>
  <c r="H73" i="4" a="1"/>
  <c r="H73" i="4" s="1"/>
  <c r="H29" i="4" a="1"/>
  <c r="H29" i="4" s="1"/>
  <c r="H72" i="4" a="1"/>
  <c r="H72" i="4" s="1"/>
  <c r="H117" i="4" a="1"/>
  <c r="H117" i="4" s="1"/>
  <c r="H98" i="4" a="1"/>
  <c r="H98" i="4" s="1"/>
  <c r="H25" i="4" a="1"/>
  <c r="H25" i="4" s="1"/>
  <c r="H100" i="4" a="1"/>
  <c r="H100" i="4" s="1"/>
  <c r="H64" i="4" a="1"/>
  <c r="H64" i="4" s="1"/>
  <c r="H55" i="4" a="1"/>
  <c r="H55" i="4" s="1"/>
  <c r="H172" i="4" a="1"/>
  <c r="H172" i="4" s="1"/>
  <c r="H200" i="4" a="1"/>
  <c r="H200" i="4" s="1"/>
  <c r="H161" i="4" a="1"/>
  <c r="H161" i="4" s="1"/>
  <c r="H203" i="4" a="1"/>
  <c r="H203" i="4" s="1"/>
  <c r="H33" i="4" a="1"/>
  <c r="H33" i="4" s="1"/>
  <c r="H176" i="4" a="1"/>
  <c r="H176" i="4" s="1"/>
  <c r="H129" i="4" a="1"/>
  <c r="H129" i="4" s="1"/>
  <c r="H13" i="4" a="1"/>
  <c r="H13" i="4" s="1"/>
  <c r="H163" i="4" a="1"/>
  <c r="H163" i="4" s="1"/>
  <c r="H113" i="4" a="1"/>
  <c r="H113" i="4" s="1"/>
  <c r="H191" i="4" a="1"/>
  <c r="H191" i="4" s="1"/>
  <c r="H31" i="4" a="1"/>
  <c r="H31" i="4" s="1"/>
  <c r="H190" i="4" a="1"/>
  <c r="H190" i="4" s="1"/>
  <c r="H112" i="4" a="1"/>
  <c r="H112" i="4" s="1"/>
  <c r="H4" i="4" a="1"/>
  <c r="H4" i="4" s="1"/>
  <c r="H89" i="4" a="1"/>
  <c r="H89" i="4" s="1"/>
  <c r="H88" i="4" a="1"/>
  <c r="H88" i="4" s="1"/>
  <c r="H3" i="4" a="1"/>
  <c r="H3" i="4" s="1"/>
  <c r="H130" i="4" a="1"/>
  <c r="H130" i="4" s="1"/>
  <c r="H82" i="4" a="1"/>
  <c r="H82" i="4" s="1"/>
  <c r="H179" i="4" a="1"/>
  <c r="H179" i="4" s="1"/>
  <c r="H32" i="4" a="1"/>
  <c r="H32" i="4" s="1"/>
  <c r="H173" i="4" a="1"/>
  <c r="H173" i="4" s="1"/>
  <c r="H169" i="4" a="1"/>
  <c r="H169" i="4" s="1"/>
  <c r="H124" i="4" a="1"/>
  <c r="H124" i="4" s="1"/>
  <c r="H182" i="4" a="1"/>
  <c r="H182" i="4" s="1"/>
  <c r="H9" i="4" a="1"/>
  <c r="H9" i="4" s="1"/>
  <c r="H21" i="4" a="1"/>
  <c r="H21" i="4" s="1"/>
  <c r="H188" i="4" a="1"/>
  <c r="H188" i="4" s="1"/>
  <c r="H149" i="4" a="1"/>
  <c r="H149" i="4" s="1"/>
  <c r="H178" i="4" a="1"/>
  <c r="H178" i="4" s="1"/>
  <c r="H170" i="4" a="1"/>
  <c r="H170" i="4" s="1"/>
  <c r="H109" i="4" a="1"/>
  <c r="H109" i="4" s="1"/>
  <c r="H74" i="4" a="1"/>
  <c r="H74" i="4" s="1"/>
  <c r="H24" i="4" a="1"/>
  <c r="H24" i="4" s="1"/>
  <c r="H123" i="4" a="1"/>
  <c r="H123" i="4" s="1"/>
  <c r="H63" i="4" a="1"/>
  <c r="H63" i="4" s="1"/>
  <c r="H199" i="4" a="1"/>
  <c r="H199" i="4" s="1"/>
  <c r="H181" i="4" a="1"/>
  <c r="H181" i="4" s="1"/>
  <c r="H132" i="4" a="1"/>
  <c r="H132" i="4" s="1"/>
  <c r="H164" i="4" a="1"/>
  <c r="H164" i="4" s="1"/>
  <c r="H180" i="4" a="1"/>
  <c r="H180" i="4" s="1"/>
  <c r="H26" i="4" a="1"/>
  <c r="H26" i="4" s="1"/>
  <c r="H58" i="4" a="1"/>
  <c r="H58" i="4" s="1"/>
  <c r="H43" i="4" a="1"/>
  <c r="H43" i="4" s="1"/>
  <c r="H111" i="4" a="1"/>
  <c r="H111" i="4" s="1"/>
  <c r="H33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<sst xmlns="http://schemas.openxmlformats.org/spreadsheetml/2006/main" count="387" uniqueCount="13">
  <si>
    <t>Index Name</t>
  </si>
  <si>
    <t>P/B</t>
  </si>
  <si>
    <t>NIFTY 500</t>
  </si>
  <si>
    <t>Nifty 500</t>
  </si>
  <si>
    <t>eps</t>
  </si>
  <si>
    <t>div_yield_pct</t>
  </si>
  <si>
    <t>tri</t>
  </si>
  <si>
    <t>pe</t>
  </si>
  <si>
    <t>date</t>
  </si>
  <si>
    <t>ROE</t>
  </si>
  <si>
    <t>M EPS Growth</t>
  </si>
  <si>
    <t xml:space="preserve">3Y EPS Growth </t>
  </si>
  <si>
    <t>10Y average 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</si>
</sst>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EBF3FB"/>
        <bgColor rgb="FFEBF3FB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0" fontId="0" fillId="0" borderId="0" xfId="1" applyNumberFormat="1" applyFont="1"/>
    <xf numFmtId="10" fontId="2" fillId="3" borderId="1" xfId="1" applyNumberFormat="1" applyFont="1" applyFill="1" applyBorder="1" applyAlignment="1">
      <alignment horizontal="center" vertical="center" wrapText="1"/>
    </xf>
    <xf numFmtId="10" fontId="2" fillId="0" borderId="1" xfId="1" applyNumberFormat="1" applyFont="1" applyBorder="1" applyAlignment="1">
      <alignment horizontal="center" vertical="center" wrapText="1"/>
    </xf>
    <xf numFmtId="14" fontId="2" fillId="3" borderId="1" xfId="1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4" borderId="3" xfId="0" applyFont="1" applyFill="1" applyBorder="1"/>
    <xf numFmtId="14" fontId="4" fillId="0" borderId="3" xfId="0" applyNumberFormat="1" applyFont="1" applyBorder="1"/>
    <xf numFmtId="43" fontId="4" fillId="0" borderId="3" xfId="2" applyFont="1" applyBorder="1"/>
    <xf numFmtId="0" fontId="0" fillId="0" borderId="3" xfId="0" applyBorder="1"/>
    <xf numFmtId="10" fontId="0" fillId="0" borderId="3" xfId="1" applyNumberFormat="1" applyFont="1" applyBorder="1"/>
    <xf numFmtId="2" fontId="0" fillId="0" borderId="3" xfId="1" applyNumberFormat="1" applyFont="1" applyBorder="1"/>
    <xf numFmtId="2" fontId="0" fillId="0" borderId="0" xfId="0" applyNumberFormat="1"/>
    <xf numFmtId="10" fontId="5" fillId="0" borderId="3" xfId="1" applyNumberFormat="1" applyFont="1" applyBorder="1"/>
    <xf numFmtId="14" fontId="4" fillId="0" borderId="0" xfId="0" applyNumberFormat="1" applyFont="1"/>
    <xf numFmtId="43" fontId="4" fillId="0" borderId="0" xfId="2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'Nifty 500 TRI'!$V$1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'Nifty 500 TRI'!$U$2:$U$350</c:f>
              <c:numCache>
                <c:formatCode>m/d/yyyy</c:formatCode>
                <c:ptCount val="349"/>
              </c:numCache>
            </c:numRef>
          </c:cat>
          <c:val>
            <c:numRef>
              <c:f>'Nifty 500 TRI'!$V$2:$V$350</c:f>
              <c:numCache>
                <c:formatCode>0.00%</c:formatCode>
                <c:ptCount val="34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0-4052-8550-0BDF8C9D0D73}"/>
            </c:ext>
          </c:extLst>
        </c:ser>
        <c:ser>
          <c:idx val="1"/>
          <c:order val="1"/>
          <c:tx>
            <c:strRef>
              <c:f>'Nifty 500 TRI'!$W$1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'Nifty 500 TRI'!$U$2:$U$350</c:f>
              <c:numCache>
                <c:formatCode>m/d/yyyy</c:formatCode>
                <c:ptCount val="349"/>
              </c:numCache>
            </c:numRef>
          </c:cat>
          <c:val>
            <c:numRef>
              <c:f>'Nifty 500 TRI'!$W$2:$W$350</c:f>
              <c:numCache>
                <c:formatCode>0.00%</c:formatCode>
                <c:ptCount val="34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0-4052-8550-0BDF8C9D0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8176688"/>
        <c:axId val="858178128"/>
      </c:lineChart>
      <c:catAx>
        <c:axId val="8581766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8178128"/>
        <c:crosses val="autoZero"/>
        <c:auto val="1"/>
        <c:lblAlgn val="ctr"/>
        <c:lblOffset val="100"/>
        <c:noMultiLvlLbl val="1"/>
      </c:catAx>
      <c:valAx>
        <c:axId val="85817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817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'Nifty 500 TRI'!$W$1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'Nifty 500 TRI'!$U$2:$U$350</c:f>
              <c:numCache>
                <c:formatCode>m/d/yyyy</c:formatCode>
                <c:ptCount val="349"/>
              </c:numCache>
            </c:numRef>
          </c:cat>
          <c:val>
            <c:numRef>
              <c:f>'Nifty 500 TRI'!$W$2:$W$350</c:f>
              <c:numCache>
                <c:formatCode>0.00%</c:formatCode>
                <c:ptCount val="34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E3-449C-A863-3D36817E5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822416"/>
        <c:axId val="923818576"/>
      </c:lineChart>
      <c:catAx>
        <c:axId val="9238224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818576"/>
        <c:crosses val="autoZero"/>
        <c:auto val="1"/>
        <c:lblAlgn val="ctr"/>
        <c:lblOffset val="100"/>
        <c:noMultiLvlLbl val="1"/>
      </c:catAx>
      <c:valAx>
        <c:axId val="92381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82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152400</xdr:colOff>
      <xdr:row>1</xdr:row>
      <xdr:rowOff>114300</xdr:rowOff>
    </xdr:from>
    <xdr:to>
      <xdr:col>38</xdr:col>
      <xdr:colOff>281940</xdr:colOff>
      <xdr:row>33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8D5A3D-E606-D42B-E0B6-32C9F87194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449580</xdr:colOff>
      <xdr:row>34</xdr:row>
      <xdr:rowOff>91440</xdr:rowOff>
    </xdr:from>
    <xdr:to>
      <xdr:col>37</xdr:col>
      <xdr:colOff>579120</xdr:colOff>
      <xdr:row>50</xdr:row>
      <xdr:rowOff>167640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A729F5-DDA3-2270-B396-923C6BBBA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2"/>
  <sheetViews>
    <sheetView workbookViewId="0">
      <pane ySplit="1" topLeftCell="A2" activePane="bottomLeft" state="frozen"/>
      <selection activeCell="I1" sqref="I1"/>
      <selection pane="bottomLeft" activeCell="F1" sqref="F1"/>
    </sheetView>
  </sheetViews>
  <sheetFormatPr defaultRowHeight="14.4" x14ac:dyDescent="0.3"/>
  <cols>
    <col min="1" max="1" width="11.109375" bestFit="1" customWidth="1"/>
    <col min="2" max="2" width="8.5546875" bestFit="1" customWidth="1"/>
    <col min="3" max="3" width="10.5546875" style="10" bestFit="1" customWidth="1"/>
    <col min="4" max="4" width="6" bestFit="1" customWidth="1"/>
    <col min="5" max="5" width="5" bestFit="1" customWidth="1"/>
    <col min="6" max="6" width="11.6640625" customWidth="1"/>
    <col min="7" max="7" width="8" bestFit="1" customWidth="1"/>
    <col min="8" max="8" width="12" bestFit="1" customWidth="1"/>
    <col min="9" max="19" width="14" customWidth="1"/>
    <col min="20" max="20" width="42.88671875" customWidth="1"/>
    <col min="21" max="23" width="14" customWidth="1"/>
  </cols>
  <sheetData>
    <row r="1" spans="1:23" ht="26.4" x14ac:dyDescent="0.3">
      <c r="A1" s="1" t="s">
        <v>0</v>
      </c>
      <c r="B1" s="15" t="s">
        <v>3</v>
      </c>
      <c r="C1" s="1" t="s">
        <v>8</v>
      </c>
      <c r="D1" s="1" t="s">
        <v>7</v>
      </c>
      <c r="E1" s="1" t="s">
        <v>1</v>
      </c>
      <c r="F1" s="1" t="s">
        <v>5</v>
      </c>
      <c r="G1" s="1" t="s">
        <v>6</v>
      </c>
      <c r="H1" s="1" t="s">
        <v>4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3">
      <c r="A2" s="2" t="s">
        <v>2</v>
      </c>
      <c r="B2" s="4">
        <v>23079.5</v>
      </c>
      <c r="C2" s="8">
        <v>46053</v>
      </c>
      <c r="D2" s="2">
        <v>23.48</v>
      </c>
      <c r="E2" s="3">
        <v>3.59</v>
      </c>
      <c r="F2" s="4">
        <v>1.17</v>
      </c>
      <c r="G2" s="3">
        <v>36853.919999999998</v>
      </c>
      <c r="H2" s="3">
        <f t="shared" ref="H2:H65" si="0">B2/D2</f>
        <v>982.94293015332198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4"/>
      <c r="V2" s="12"/>
      <c r="W2" s="12"/>
    </row>
    <row r="3" spans="1:23" x14ac:dyDescent="0.3">
      <c r="A3" s="5" t="s">
        <v>2</v>
      </c>
      <c r="B3" s="7">
        <v>23871.55</v>
      </c>
      <c r="C3" s="9">
        <v>46022</v>
      </c>
      <c r="D3" s="5">
        <v>24.45</v>
      </c>
      <c r="E3" s="6">
        <v>3.71</v>
      </c>
      <c r="F3" s="7">
        <v>1.1499999999999999</v>
      </c>
      <c r="G3" s="6">
        <v>38101.06</v>
      </c>
      <c r="H3" s="6">
        <f t="shared" si="0"/>
        <v>976.34151329243355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13"/>
      <c r="W3" s="13"/>
    </row>
    <row r="4" spans="1:23" x14ac:dyDescent="0.3">
      <c r="A4" s="2" t="s">
        <v>2</v>
      </c>
      <c r="B4" s="4">
        <v>23933.200000000001</v>
      </c>
      <c r="C4" s="8">
        <v>45989</v>
      </c>
      <c r="D4" s="2">
        <v>24.45</v>
      </c>
      <c r="E4" s="3">
        <v>3.71</v>
      </c>
      <c r="F4" s="4">
        <v>1.1499999999999999</v>
      </c>
      <c r="G4" s="3">
        <v>38199.35</v>
      </c>
      <c r="H4" s="3">
        <f t="shared" si="0"/>
        <v>978.86298568507164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4"/>
      <c r="V4" s="12"/>
      <c r="W4" s="12"/>
    </row>
    <row r="5" spans="1:23" x14ac:dyDescent="0.3">
      <c r="A5" s="5" t="s">
        <v>2</v>
      </c>
      <c r="B5" s="7">
        <v>23710.400000000001</v>
      </c>
      <c r="C5" s="9">
        <v>45960</v>
      </c>
      <c r="D5" s="5">
        <v>24.79</v>
      </c>
      <c r="E5" s="6">
        <v>3.71</v>
      </c>
      <c r="F5" s="7">
        <v>1.1499999999999999</v>
      </c>
      <c r="G5" s="6">
        <v>37822.449999999997</v>
      </c>
      <c r="H5" s="6">
        <f t="shared" si="0"/>
        <v>956.4501815248085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13"/>
      <c r="W5" s="13"/>
    </row>
    <row r="6" spans="1:23" x14ac:dyDescent="0.3">
      <c r="A6" s="2" t="s">
        <v>2</v>
      </c>
      <c r="B6" s="4">
        <v>22734.1</v>
      </c>
      <c r="C6" s="8">
        <v>45930</v>
      </c>
      <c r="D6" s="2">
        <v>23.8</v>
      </c>
      <c r="E6" s="3">
        <v>3.54</v>
      </c>
      <c r="F6" s="4">
        <v>1.19</v>
      </c>
      <c r="G6" s="3">
        <v>36240.26</v>
      </c>
      <c r="H6" s="3">
        <f t="shared" si="0"/>
        <v>955.21428571428567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4"/>
      <c r="V6" s="12"/>
      <c r="W6" s="12"/>
    </row>
    <row r="7" spans="1:23" x14ac:dyDescent="0.3">
      <c r="A7" s="5" t="s">
        <v>2</v>
      </c>
      <c r="B7" s="7">
        <v>22462.95</v>
      </c>
      <c r="C7" s="9">
        <v>45898</v>
      </c>
      <c r="D7" s="5">
        <v>23.49</v>
      </c>
      <c r="E7" s="6">
        <v>3.5</v>
      </c>
      <c r="F7" s="7">
        <v>1.23</v>
      </c>
      <c r="G7" s="6">
        <v>35799.379999999997</v>
      </c>
      <c r="H7" s="6">
        <f t="shared" si="0"/>
        <v>956.27713920817382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</row>
    <row r="8" spans="1:23" x14ac:dyDescent="0.3">
      <c r="A8" s="2" t="s">
        <v>2</v>
      </c>
      <c r="B8" s="4">
        <v>22914.95</v>
      </c>
      <c r="C8" s="8">
        <v>45869</v>
      </c>
      <c r="D8" s="2">
        <v>24.27</v>
      </c>
      <c r="E8" s="3">
        <v>3.69</v>
      </c>
      <c r="F8" s="4">
        <v>1.2</v>
      </c>
      <c r="G8" s="3">
        <v>36461.71</v>
      </c>
      <c r="H8" s="3">
        <f t="shared" si="0"/>
        <v>944.16769674495265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4"/>
      <c r="V8" s="12"/>
      <c r="W8" s="12"/>
    </row>
    <row r="9" spans="1:23" x14ac:dyDescent="0.3">
      <c r="A9" s="5" t="s">
        <v>2</v>
      </c>
      <c r="B9" s="7">
        <v>23617.200000000001</v>
      </c>
      <c r="C9" s="9">
        <v>45838</v>
      </c>
      <c r="D9" s="5">
        <v>25.34</v>
      </c>
      <c r="E9" s="6">
        <v>4.01</v>
      </c>
      <c r="F9" s="7">
        <v>1.1000000000000001</v>
      </c>
      <c r="G9" s="6">
        <v>37522.379999999997</v>
      </c>
      <c r="H9" s="6">
        <f t="shared" si="0"/>
        <v>932.01262825572223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4"/>
      <c r="V9" s="13"/>
      <c r="W9" s="13"/>
    </row>
    <row r="10" spans="1:23" x14ac:dyDescent="0.3">
      <c r="A10" s="2" t="s">
        <v>2</v>
      </c>
      <c r="B10" s="4">
        <v>22801.95</v>
      </c>
      <c r="C10" s="8">
        <v>45807</v>
      </c>
      <c r="D10" s="2">
        <v>24.59</v>
      </c>
      <c r="E10" s="3">
        <v>3.94</v>
      </c>
      <c r="F10" s="4">
        <v>1.1200000000000001</v>
      </c>
      <c r="G10" s="3">
        <v>36160.26</v>
      </c>
      <c r="H10" s="3">
        <f t="shared" si="0"/>
        <v>927.28548190321271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4"/>
      <c r="V10" s="12"/>
      <c r="W10" s="12"/>
    </row>
    <row r="11" spans="1:23" x14ac:dyDescent="0.3">
      <c r="A11" s="5" t="s">
        <v>2</v>
      </c>
      <c r="B11" s="7">
        <v>22030.05</v>
      </c>
      <c r="C11" s="9">
        <v>45777</v>
      </c>
      <c r="D11" s="5">
        <v>24.09</v>
      </c>
      <c r="E11" s="6">
        <v>3.84</v>
      </c>
      <c r="F11" s="7">
        <v>1.17</v>
      </c>
      <c r="G11" s="6">
        <v>34886.080000000002</v>
      </c>
      <c r="H11" s="6">
        <f t="shared" si="0"/>
        <v>914.48941469489409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4"/>
      <c r="V11" s="13"/>
      <c r="W11" s="13"/>
    </row>
    <row r="12" spans="1:23" x14ac:dyDescent="0.3">
      <c r="A12" s="2" t="s">
        <v>2</v>
      </c>
      <c r="B12" s="4">
        <v>21339.55</v>
      </c>
      <c r="C12" s="8">
        <v>45744</v>
      </c>
      <c r="D12" s="2">
        <v>23.54</v>
      </c>
      <c r="E12" s="3">
        <v>3.73</v>
      </c>
      <c r="F12" s="4">
        <v>1.21</v>
      </c>
      <c r="G12" s="3">
        <v>33787.56</v>
      </c>
      <c r="H12" s="3">
        <f t="shared" si="0"/>
        <v>906.52293967714525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4"/>
      <c r="V12" s="12"/>
      <c r="W12" s="12"/>
    </row>
    <row r="13" spans="1:23" x14ac:dyDescent="0.3">
      <c r="A13" s="5" t="s">
        <v>2</v>
      </c>
      <c r="B13" s="7">
        <v>19880.900000000001</v>
      </c>
      <c r="C13" s="9">
        <v>45716</v>
      </c>
      <c r="D13" s="5">
        <v>21.84</v>
      </c>
      <c r="E13" s="6">
        <v>3.44</v>
      </c>
      <c r="F13" s="7">
        <v>1.3</v>
      </c>
      <c r="G13" s="6">
        <v>31473.37</v>
      </c>
      <c r="H13" s="6">
        <f t="shared" si="0"/>
        <v>910.29761904761915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4"/>
      <c r="V13" s="13"/>
      <c r="W13" s="13"/>
    </row>
    <row r="14" spans="1:23" x14ac:dyDescent="0.3">
      <c r="A14" s="2" t="s">
        <v>2</v>
      </c>
      <c r="B14" s="4">
        <v>21580.9</v>
      </c>
      <c r="C14" s="8">
        <v>45688</v>
      </c>
      <c r="D14" s="2">
        <v>24.27</v>
      </c>
      <c r="E14" s="3">
        <v>3.74</v>
      </c>
      <c r="F14" s="4">
        <v>1.22</v>
      </c>
      <c r="G14" s="3">
        <v>34130.93</v>
      </c>
      <c r="H14" s="3">
        <f t="shared" si="0"/>
        <v>889.20065925010306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4"/>
      <c r="V14" s="12"/>
      <c r="W14" s="12"/>
    </row>
    <row r="15" spans="1:23" x14ac:dyDescent="0.3">
      <c r="A15" s="5" t="s">
        <v>2</v>
      </c>
      <c r="B15" s="7">
        <v>22375.4</v>
      </c>
      <c r="C15" s="9">
        <v>45657</v>
      </c>
      <c r="D15" s="5">
        <v>25.56</v>
      </c>
      <c r="E15" s="6">
        <v>3.88</v>
      </c>
      <c r="F15" s="7">
        <v>1.1200000000000001</v>
      </c>
      <c r="G15" s="6">
        <v>35357.9</v>
      </c>
      <c r="H15" s="6">
        <f t="shared" si="0"/>
        <v>875.40688575899856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4"/>
      <c r="V15" s="13"/>
      <c r="W15" s="13"/>
    </row>
    <row r="16" spans="1:23" x14ac:dyDescent="0.3">
      <c r="A16" s="2" t="s">
        <v>2</v>
      </c>
      <c r="B16" s="4">
        <v>22687</v>
      </c>
      <c r="C16" s="8">
        <v>45625</v>
      </c>
      <c r="D16" s="2">
        <v>25.77</v>
      </c>
      <c r="E16" s="3">
        <v>3.92</v>
      </c>
      <c r="F16" s="4">
        <v>1.1200000000000001</v>
      </c>
      <c r="G16" s="3">
        <v>35847.4</v>
      </c>
      <c r="H16" s="3">
        <f t="shared" si="0"/>
        <v>880.36476523088868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4"/>
      <c r="V16" s="12"/>
      <c r="W16" s="12"/>
    </row>
    <row r="17" spans="1:23" x14ac:dyDescent="0.3">
      <c r="A17" s="5" t="s">
        <v>2</v>
      </c>
      <c r="B17" s="7">
        <v>22689.35</v>
      </c>
      <c r="C17" s="9">
        <v>45596</v>
      </c>
      <c r="D17" s="5">
        <v>26.07</v>
      </c>
      <c r="E17" s="6">
        <v>3.95</v>
      </c>
      <c r="F17" s="7">
        <v>1.1299999999999999</v>
      </c>
      <c r="G17" s="6">
        <v>35830.980000000003</v>
      </c>
      <c r="H17" s="6">
        <f t="shared" si="0"/>
        <v>870.32412734944376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4"/>
      <c r="V17" s="13"/>
      <c r="W17" s="13"/>
    </row>
    <row r="18" spans="1:23" x14ac:dyDescent="0.3">
      <c r="A18" s="2" t="s">
        <v>2</v>
      </c>
      <c r="B18" s="4">
        <v>24245.200000000001</v>
      </c>
      <c r="C18" s="8">
        <v>45565</v>
      </c>
      <c r="D18" s="2">
        <v>27.87</v>
      </c>
      <c r="E18" s="3">
        <v>4.22</v>
      </c>
      <c r="F18" s="4">
        <v>1.04</v>
      </c>
      <c r="G18" s="3">
        <v>38261.39</v>
      </c>
      <c r="H18" s="3">
        <f t="shared" si="0"/>
        <v>869.93900251166133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4"/>
      <c r="V18" s="12"/>
      <c r="W18" s="12"/>
    </row>
    <row r="19" spans="1:23" x14ac:dyDescent="0.3">
      <c r="A19" s="5" t="s">
        <v>2</v>
      </c>
      <c r="B19" s="7">
        <v>23734.55</v>
      </c>
      <c r="C19" s="9">
        <v>45534</v>
      </c>
      <c r="D19" s="5">
        <v>27.19</v>
      </c>
      <c r="E19" s="6">
        <v>4.5999999999999996</v>
      </c>
      <c r="F19" s="7">
        <v>1.05</v>
      </c>
      <c r="G19" s="6">
        <v>37449.919999999998</v>
      </c>
      <c r="H19" s="6">
        <f t="shared" si="0"/>
        <v>872.91467451268841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4"/>
      <c r="V19" s="13"/>
      <c r="W19" s="13"/>
    </row>
    <row r="20" spans="1:23" x14ac:dyDescent="0.3">
      <c r="A20" s="2" t="s">
        <v>2</v>
      </c>
      <c r="B20" s="4">
        <v>23530.799999999999</v>
      </c>
      <c r="C20" s="8">
        <v>45504</v>
      </c>
      <c r="D20" s="2">
        <v>27.1</v>
      </c>
      <c r="E20" s="3">
        <v>4.55</v>
      </c>
      <c r="F20" s="4">
        <v>1.02</v>
      </c>
      <c r="G20" s="3">
        <v>37066.080000000002</v>
      </c>
      <c r="H20" s="3">
        <f t="shared" si="0"/>
        <v>868.2952029520294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4"/>
      <c r="V20" s="12"/>
      <c r="W20" s="12"/>
    </row>
    <row r="21" spans="1:23" x14ac:dyDescent="0.3">
      <c r="A21" s="5" t="s">
        <v>2</v>
      </c>
      <c r="B21" s="7">
        <v>22559.7</v>
      </c>
      <c r="C21" s="9">
        <v>45471</v>
      </c>
      <c r="D21" s="5">
        <v>26.23</v>
      </c>
      <c r="E21" s="6">
        <v>4.47</v>
      </c>
      <c r="F21" s="7">
        <v>1.06</v>
      </c>
      <c r="G21" s="6">
        <v>35506.97</v>
      </c>
      <c r="H21" s="6">
        <f t="shared" si="0"/>
        <v>860.07243614182232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4"/>
      <c r="V21" s="13"/>
      <c r="W21" s="13"/>
    </row>
    <row r="22" spans="1:23" x14ac:dyDescent="0.3">
      <c r="A22" s="2" t="s">
        <v>2</v>
      </c>
      <c r="B22" s="4">
        <v>21103.3</v>
      </c>
      <c r="C22" s="8">
        <v>45443</v>
      </c>
      <c r="D22" s="2">
        <v>24.48</v>
      </c>
      <c r="E22" s="3">
        <v>4.25</v>
      </c>
      <c r="F22" s="4">
        <v>1.08</v>
      </c>
      <c r="G22" s="3">
        <v>33168.199999999997</v>
      </c>
      <c r="H22" s="3">
        <f t="shared" si="0"/>
        <v>862.06290849673201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4"/>
      <c r="V22" s="12"/>
      <c r="W22" s="12"/>
    </row>
    <row r="23" spans="1:23" x14ac:dyDescent="0.3">
      <c r="A23" s="5" t="s">
        <v>2</v>
      </c>
      <c r="B23" s="7">
        <v>20997.200000000001</v>
      </c>
      <c r="C23" s="9">
        <v>45412</v>
      </c>
      <c r="D23" s="5">
        <v>24.73</v>
      </c>
      <c r="E23" s="6">
        <v>4.21</v>
      </c>
      <c r="F23" s="7">
        <v>1.02</v>
      </c>
      <c r="G23" s="6">
        <v>32927.379999999997</v>
      </c>
      <c r="H23" s="6">
        <f t="shared" si="0"/>
        <v>849.05782450465028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4"/>
      <c r="V23" s="13"/>
      <c r="W23" s="13"/>
    </row>
    <row r="24" spans="1:23" x14ac:dyDescent="0.3">
      <c r="A24" s="2" t="s">
        <v>2</v>
      </c>
      <c r="B24" s="4">
        <v>20255.150000000001</v>
      </c>
      <c r="C24" s="8">
        <v>45379</v>
      </c>
      <c r="D24" s="2">
        <v>24.74</v>
      </c>
      <c r="E24" s="3">
        <v>4.0599999999999996</v>
      </c>
      <c r="F24" s="4">
        <v>1.0900000000000001</v>
      </c>
      <c r="G24" s="3">
        <v>31763.25</v>
      </c>
      <c r="H24" s="3">
        <f t="shared" si="0"/>
        <v>818.72069523039625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4"/>
      <c r="V24" s="12"/>
      <c r="W24" s="12"/>
    </row>
    <row r="25" spans="1:23" x14ac:dyDescent="0.3">
      <c r="A25" s="5" t="s">
        <v>2</v>
      </c>
      <c r="B25" s="7">
        <v>20090.05</v>
      </c>
      <c r="C25" s="9">
        <v>45351</v>
      </c>
      <c r="D25" s="5">
        <v>24.37</v>
      </c>
      <c r="E25" s="6">
        <v>4.04</v>
      </c>
      <c r="F25" s="7">
        <v>1.1100000000000001</v>
      </c>
      <c r="G25" s="6">
        <v>31499.31</v>
      </c>
      <c r="H25" s="6">
        <f t="shared" si="0"/>
        <v>824.37628231432086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4"/>
      <c r="V25" s="13"/>
      <c r="W25" s="13"/>
    </row>
    <row r="26" spans="1:23" x14ac:dyDescent="0.3">
      <c r="A26" s="2" t="s">
        <v>2</v>
      </c>
      <c r="B26" s="4">
        <v>19802.099999999999</v>
      </c>
      <c r="C26" s="8">
        <v>45322</v>
      </c>
      <c r="D26" s="2">
        <v>24.2</v>
      </c>
      <c r="E26" s="3">
        <v>3.98</v>
      </c>
      <c r="F26" s="4">
        <v>1.1100000000000001</v>
      </c>
      <c r="G26" s="3">
        <v>31011.17</v>
      </c>
      <c r="H26" s="3">
        <f t="shared" si="0"/>
        <v>818.26859504132233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4"/>
      <c r="V26" s="12"/>
      <c r="W26" s="12"/>
    </row>
    <row r="27" spans="1:23" x14ac:dyDescent="0.3">
      <c r="A27" s="5" t="s">
        <v>2</v>
      </c>
      <c r="B27" s="7">
        <v>19429.150000000001</v>
      </c>
      <c r="C27" s="9">
        <v>45289</v>
      </c>
      <c r="D27" s="5">
        <v>24.48</v>
      </c>
      <c r="E27" s="6">
        <v>3.91</v>
      </c>
      <c r="F27" s="7">
        <v>1.17</v>
      </c>
      <c r="G27" s="6">
        <v>30417.8</v>
      </c>
      <c r="H27" s="6">
        <f t="shared" si="0"/>
        <v>793.67442810457521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4"/>
      <c r="V27" s="13"/>
      <c r="W27" s="13"/>
    </row>
    <row r="28" spans="1:23" x14ac:dyDescent="0.3">
      <c r="A28" s="2" t="s">
        <v>2</v>
      </c>
      <c r="B28" s="4">
        <v>17987.95</v>
      </c>
      <c r="C28" s="8">
        <v>45260</v>
      </c>
      <c r="D28" s="2">
        <v>22.68</v>
      </c>
      <c r="E28" s="3">
        <v>3.62</v>
      </c>
      <c r="F28" s="4">
        <v>1.24</v>
      </c>
      <c r="G28" s="3">
        <v>28161.16</v>
      </c>
      <c r="H28" s="3">
        <f t="shared" si="0"/>
        <v>793.11948853615525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4"/>
      <c r="V28" s="12"/>
      <c r="W28" s="12"/>
    </row>
    <row r="29" spans="1:23" x14ac:dyDescent="0.3">
      <c r="A29" s="5" t="s">
        <v>2</v>
      </c>
      <c r="B29" s="7">
        <v>16801.099999999999</v>
      </c>
      <c r="C29" s="9">
        <v>45230</v>
      </c>
      <c r="D29" s="5">
        <v>21.78</v>
      </c>
      <c r="E29" s="6">
        <v>3.38</v>
      </c>
      <c r="F29" s="7">
        <v>1.31</v>
      </c>
      <c r="G29" s="6">
        <v>26281.759999999998</v>
      </c>
      <c r="H29" s="6">
        <f t="shared" si="0"/>
        <v>771.40036730945815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4"/>
      <c r="V29" s="13"/>
      <c r="W29" s="13"/>
    </row>
    <row r="30" spans="1:23" x14ac:dyDescent="0.3">
      <c r="A30" s="2" t="s">
        <v>2</v>
      </c>
      <c r="B30" s="4">
        <v>17292.599999999999</v>
      </c>
      <c r="C30" s="8">
        <v>45198</v>
      </c>
      <c r="D30" s="2">
        <v>23.45</v>
      </c>
      <c r="E30" s="3">
        <v>3.48</v>
      </c>
      <c r="F30" s="4">
        <v>1.27</v>
      </c>
      <c r="G30" s="3">
        <v>27031.74</v>
      </c>
      <c r="H30" s="3">
        <f t="shared" si="0"/>
        <v>737.42430703624734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4"/>
      <c r="V30" s="12"/>
      <c r="W30" s="12"/>
    </row>
    <row r="31" spans="1:23" x14ac:dyDescent="0.3">
      <c r="A31" s="5" t="s">
        <v>2</v>
      </c>
      <c r="B31" s="7">
        <v>16924.3</v>
      </c>
      <c r="C31" s="9">
        <v>45169</v>
      </c>
      <c r="D31" s="5">
        <v>23.07</v>
      </c>
      <c r="E31" s="6">
        <v>4.22</v>
      </c>
      <c r="F31" s="7">
        <v>1.3</v>
      </c>
      <c r="G31" s="6">
        <v>26451.77</v>
      </c>
      <c r="H31" s="6">
        <f t="shared" si="0"/>
        <v>733.60641525791061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4"/>
      <c r="V31" s="13"/>
      <c r="W31" s="13"/>
    </row>
    <row r="32" spans="1:23" x14ac:dyDescent="0.3">
      <c r="A32" s="2" t="s">
        <v>2</v>
      </c>
      <c r="B32" s="4">
        <v>17059</v>
      </c>
      <c r="C32" s="8">
        <v>45138</v>
      </c>
      <c r="D32" s="2">
        <v>24.24</v>
      </c>
      <c r="E32" s="3">
        <v>4.5199999999999996</v>
      </c>
      <c r="F32" s="4">
        <v>1.25</v>
      </c>
      <c r="G32" s="3">
        <v>26612.52</v>
      </c>
      <c r="H32" s="3">
        <f t="shared" si="0"/>
        <v>703.75412541254127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4"/>
      <c r="V32" s="12"/>
      <c r="W32" s="12"/>
    </row>
    <row r="33" spans="1:23" x14ac:dyDescent="0.3">
      <c r="A33" s="5" t="s">
        <v>2</v>
      </c>
      <c r="B33" s="7">
        <v>16430</v>
      </c>
      <c r="C33" s="9">
        <v>45107</v>
      </c>
      <c r="D33" s="5">
        <v>23.51</v>
      </c>
      <c r="E33" s="6">
        <v>4.29</v>
      </c>
      <c r="F33" s="7">
        <v>1.36</v>
      </c>
      <c r="G33" s="6">
        <v>25605.81</v>
      </c>
      <c r="H33" s="6">
        <f t="shared" si="0"/>
        <v>698.85155253083792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4"/>
      <c r="V33" s="13"/>
      <c r="W33" s="13"/>
    </row>
    <row r="34" spans="1:23" x14ac:dyDescent="0.3">
      <c r="A34" s="2" t="s">
        <v>2</v>
      </c>
      <c r="B34" s="4">
        <v>15766.4</v>
      </c>
      <c r="C34" s="8">
        <v>45077</v>
      </c>
      <c r="D34" s="2">
        <v>22.56</v>
      </c>
      <c r="E34" s="3">
        <v>4.12</v>
      </c>
      <c r="F34" s="4">
        <v>1.33</v>
      </c>
      <c r="G34" s="3">
        <v>24538.09</v>
      </c>
      <c r="H34" s="3">
        <f t="shared" si="0"/>
        <v>698.86524822695037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4"/>
      <c r="V34" s="12"/>
      <c r="W34" s="12"/>
    </row>
    <row r="35" spans="1:23" x14ac:dyDescent="0.3">
      <c r="A35" s="5" t="s">
        <v>2</v>
      </c>
      <c r="B35" s="7">
        <v>15219.55</v>
      </c>
      <c r="C35" s="9">
        <v>45044</v>
      </c>
      <c r="D35" s="5">
        <v>21.82</v>
      </c>
      <c r="E35" s="6">
        <v>3.98</v>
      </c>
      <c r="F35" s="7">
        <v>1.38</v>
      </c>
      <c r="G35" s="6">
        <v>23643.94</v>
      </c>
      <c r="H35" s="6">
        <f t="shared" si="0"/>
        <v>697.50458295142062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4"/>
      <c r="V35" s="13"/>
      <c r="W35" s="13"/>
    </row>
    <row r="36" spans="1:23" x14ac:dyDescent="0.3">
      <c r="A36" s="2" t="s">
        <v>2</v>
      </c>
      <c r="B36" s="4">
        <v>14557.85</v>
      </c>
      <c r="C36" s="8">
        <v>45016</v>
      </c>
      <c r="D36" s="2">
        <v>21.14</v>
      </c>
      <c r="E36" s="3">
        <v>3.63</v>
      </c>
      <c r="F36" s="4">
        <v>1.43</v>
      </c>
      <c r="G36" s="3">
        <v>22609.54</v>
      </c>
      <c r="H36" s="3">
        <f t="shared" si="0"/>
        <v>688.64001892147587</v>
      </c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4"/>
      <c r="V36" s="12"/>
      <c r="W36" s="12"/>
    </row>
    <row r="37" spans="1:23" x14ac:dyDescent="0.3">
      <c r="A37" s="5" t="s">
        <v>2</v>
      </c>
      <c r="B37" s="7">
        <v>14518.75</v>
      </c>
      <c r="C37" s="9">
        <v>44985</v>
      </c>
      <c r="D37" s="5">
        <v>21.21</v>
      </c>
      <c r="E37" s="6">
        <v>3.82</v>
      </c>
      <c r="F37" s="7">
        <v>1.44</v>
      </c>
      <c r="G37" s="6">
        <v>22546.35</v>
      </c>
      <c r="H37" s="6">
        <f t="shared" si="0"/>
        <v>684.52380952380952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4"/>
      <c r="V37" s="13"/>
      <c r="W37" s="13"/>
    </row>
    <row r="38" spans="1:23" x14ac:dyDescent="0.3">
      <c r="A38" s="2" t="s">
        <v>2</v>
      </c>
      <c r="B38" s="4">
        <v>14935.5</v>
      </c>
      <c r="C38" s="8">
        <v>44957</v>
      </c>
      <c r="D38" s="2">
        <v>21.76</v>
      </c>
      <c r="E38" s="3">
        <v>3.94</v>
      </c>
      <c r="F38" s="4">
        <v>1.37</v>
      </c>
      <c r="G38" s="3">
        <v>23175.05</v>
      </c>
      <c r="H38" s="3">
        <f t="shared" si="0"/>
        <v>686.37408088235293</v>
      </c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4"/>
      <c r="V38" s="12"/>
      <c r="W38" s="12"/>
    </row>
    <row r="39" spans="1:23" x14ac:dyDescent="0.3">
      <c r="A39" s="5" t="s">
        <v>2</v>
      </c>
      <c r="B39" s="7">
        <v>15448.85</v>
      </c>
      <c r="C39" s="9">
        <v>44925</v>
      </c>
      <c r="D39" s="5">
        <v>22.85</v>
      </c>
      <c r="E39" s="6">
        <v>4.08</v>
      </c>
      <c r="F39" s="7">
        <v>1.26</v>
      </c>
      <c r="G39" s="6">
        <v>23967.119999999999</v>
      </c>
      <c r="H39" s="6">
        <f t="shared" si="0"/>
        <v>676.09846827133481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4"/>
      <c r="V39" s="13"/>
      <c r="W39" s="13"/>
    </row>
    <row r="40" spans="1:23" x14ac:dyDescent="0.3">
      <c r="A40" s="2" t="s">
        <v>2</v>
      </c>
      <c r="B40" s="4">
        <v>15946.15</v>
      </c>
      <c r="C40" s="8">
        <v>44895</v>
      </c>
      <c r="D40" s="2">
        <v>23.43</v>
      </c>
      <c r="E40" s="3">
        <v>4.1900000000000004</v>
      </c>
      <c r="F40" s="4">
        <v>1.29</v>
      </c>
      <c r="G40" s="3">
        <v>24738.49</v>
      </c>
      <c r="H40" s="3">
        <f t="shared" si="0"/>
        <v>680.58685446009395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4"/>
      <c r="V40" s="12"/>
      <c r="W40" s="12"/>
    </row>
    <row r="41" spans="1:23" x14ac:dyDescent="0.3">
      <c r="A41" s="5" t="s">
        <v>2</v>
      </c>
      <c r="B41" s="7">
        <v>15424</v>
      </c>
      <c r="C41" s="9">
        <v>44865</v>
      </c>
      <c r="D41" s="5">
        <v>22.21</v>
      </c>
      <c r="E41" s="6">
        <v>4.0599999999999996</v>
      </c>
      <c r="F41" s="7">
        <v>1.27</v>
      </c>
      <c r="G41" s="6">
        <v>23919.759999999998</v>
      </c>
      <c r="H41" s="6">
        <f t="shared" si="0"/>
        <v>694.46195407474113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4"/>
      <c r="V41" s="13"/>
      <c r="W41" s="13"/>
    </row>
    <row r="42" spans="1:23" x14ac:dyDescent="0.3">
      <c r="A42" s="2" t="s">
        <v>2</v>
      </c>
      <c r="B42" s="4">
        <v>14829.35</v>
      </c>
      <c r="C42" s="8">
        <v>44834</v>
      </c>
      <c r="D42" s="2">
        <v>21.65</v>
      </c>
      <c r="E42" s="3">
        <v>3.9</v>
      </c>
      <c r="F42" s="4">
        <v>1.33</v>
      </c>
      <c r="G42" s="3">
        <v>22979.45</v>
      </c>
      <c r="H42" s="3">
        <f t="shared" si="0"/>
        <v>684.958429561201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4"/>
      <c r="V42" s="12"/>
      <c r="W42" s="12"/>
    </row>
    <row r="43" spans="1:23" x14ac:dyDescent="0.3">
      <c r="A43" s="5" t="s">
        <v>2</v>
      </c>
      <c r="B43" s="7">
        <v>15325.05</v>
      </c>
      <c r="C43" s="9">
        <v>44803</v>
      </c>
      <c r="D43" s="5">
        <v>22.25</v>
      </c>
      <c r="E43" s="6">
        <v>4.0599999999999996</v>
      </c>
      <c r="F43" s="7">
        <v>1.39</v>
      </c>
      <c r="G43" s="6">
        <v>23740.37</v>
      </c>
      <c r="H43" s="6">
        <f t="shared" si="0"/>
        <v>688.76629213483147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4"/>
      <c r="V43" s="13"/>
      <c r="W43" s="13"/>
    </row>
    <row r="44" spans="1:23" x14ac:dyDescent="0.3">
      <c r="A44" s="2" t="s">
        <v>2</v>
      </c>
      <c r="B44" s="4">
        <v>14665.65</v>
      </c>
      <c r="C44" s="8">
        <v>44771</v>
      </c>
      <c r="D44" s="2">
        <v>21.47</v>
      </c>
      <c r="E44" s="3">
        <v>4.01</v>
      </c>
      <c r="F44" s="4">
        <v>1.34</v>
      </c>
      <c r="G44" s="3">
        <v>22678.29</v>
      </c>
      <c r="H44" s="3">
        <f t="shared" si="0"/>
        <v>683.07638565440152</v>
      </c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4"/>
      <c r="V44" s="12"/>
      <c r="W44" s="12"/>
    </row>
    <row r="45" spans="1:23" x14ac:dyDescent="0.3">
      <c r="A45" s="5" t="s">
        <v>2</v>
      </c>
      <c r="B45" s="7">
        <v>13387.55</v>
      </c>
      <c r="C45" s="9">
        <v>44742</v>
      </c>
      <c r="D45" s="5">
        <v>20.05</v>
      </c>
      <c r="E45" s="6">
        <v>3.85</v>
      </c>
      <c r="F45" s="7">
        <v>1.44</v>
      </c>
      <c r="G45" s="6">
        <v>20667.27</v>
      </c>
      <c r="H45" s="6">
        <f t="shared" si="0"/>
        <v>667.70822942643383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4"/>
      <c r="V45" s="13"/>
      <c r="W45" s="13"/>
    </row>
    <row r="46" spans="1:23" x14ac:dyDescent="0.3">
      <c r="A46" s="2" t="s">
        <v>2</v>
      </c>
      <c r="B46" s="4">
        <v>14119.6</v>
      </c>
      <c r="C46" s="8">
        <v>44712</v>
      </c>
      <c r="D46" s="2">
        <v>21.07</v>
      </c>
      <c r="E46" s="3">
        <v>4.0599999999999996</v>
      </c>
      <c r="F46" s="4">
        <v>1.4</v>
      </c>
      <c r="G46" s="3">
        <v>21765.82</v>
      </c>
      <c r="H46" s="3">
        <f t="shared" si="0"/>
        <v>670.12814428096817</v>
      </c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4"/>
      <c r="V46" s="12"/>
      <c r="W46" s="12"/>
    </row>
    <row r="47" spans="1:23" x14ac:dyDescent="0.3">
      <c r="A47" s="5" t="s">
        <v>2</v>
      </c>
      <c r="B47" s="7">
        <v>14783.35</v>
      </c>
      <c r="C47" s="9">
        <v>44680</v>
      </c>
      <c r="D47" s="5">
        <v>23.15</v>
      </c>
      <c r="E47" s="6">
        <v>4.26</v>
      </c>
      <c r="F47" s="7">
        <v>1.1399999999999999</v>
      </c>
      <c r="G47" s="6">
        <v>22726.01</v>
      </c>
      <c r="H47" s="6">
        <f t="shared" si="0"/>
        <v>638.58963282937373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4"/>
      <c r="V47" s="13"/>
      <c r="W47" s="13"/>
    </row>
    <row r="48" spans="1:23" x14ac:dyDescent="0.3">
      <c r="A48" s="2" t="s">
        <v>2</v>
      </c>
      <c r="B48" s="4">
        <v>14894.5</v>
      </c>
      <c r="C48" s="8">
        <v>44651</v>
      </c>
      <c r="D48" s="2">
        <v>23.67</v>
      </c>
      <c r="E48" s="3">
        <v>4.29</v>
      </c>
      <c r="F48" s="4">
        <v>1.1299999999999999</v>
      </c>
      <c r="G48" s="3">
        <v>22889.14</v>
      </c>
      <c r="H48" s="3">
        <f t="shared" si="0"/>
        <v>629.25644275454158</v>
      </c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4"/>
      <c r="V48" s="12"/>
      <c r="W48" s="12"/>
    </row>
    <row r="49" spans="1:23" x14ac:dyDescent="0.3">
      <c r="A49" s="5" t="s">
        <v>2</v>
      </c>
      <c r="B49" s="7">
        <v>14307.95</v>
      </c>
      <c r="C49" s="9">
        <v>44620</v>
      </c>
      <c r="D49" s="5">
        <v>22.67</v>
      </c>
      <c r="E49" s="6">
        <v>4.09</v>
      </c>
      <c r="F49" s="7">
        <v>1.22</v>
      </c>
      <c r="G49" s="6">
        <v>21978.65</v>
      </c>
      <c r="H49" s="6">
        <f t="shared" si="0"/>
        <v>631.14027348919274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4"/>
      <c r="V49" s="13"/>
      <c r="W49" s="13"/>
    </row>
    <row r="50" spans="1:23" x14ac:dyDescent="0.3">
      <c r="A50" s="2" t="s">
        <v>2</v>
      </c>
      <c r="B50" s="4">
        <v>14921.45</v>
      </c>
      <c r="C50" s="8">
        <v>44592</v>
      </c>
      <c r="D50" s="2">
        <v>24.77</v>
      </c>
      <c r="E50" s="3">
        <v>4.2699999999999996</v>
      </c>
      <c r="F50" s="4">
        <v>1.1399999999999999</v>
      </c>
      <c r="G50" s="3">
        <v>22881.58</v>
      </c>
      <c r="H50" s="3">
        <f t="shared" si="0"/>
        <v>602.40008074283412</v>
      </c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4"/>
      <c r="V50" s="12"/>
      <c r="W50" s="12"/>
    </row>
    <row r="51" spans="1:23" x14ac:dyDescent="0.3">
      <c r="A51" s="5" t="s">
        <v>2</v>
      </c>
      <c r="B51" s="7">
        <v>14996.2</v>
      </c>
      <c r="C51" s="9">
        <v>44561</v>
      </c>
      <c r="D51" s="5">
        <v>25.44</v>
      </c>
      <c r="E51" s="6">
        <v>4.29</v>
      </c>
      <c r="F51" s="7">
        <v>1.1299999999999999</v>
      </c>
      <c r="G51" s="6">
        <v>22990.880000000001</v>
      </c>
      <c r="H51" s="6">
        <f t="shared" si="0"/>
        <v>589.47327044025155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4"/>
      <c r="V51" s="13"/>
      <c r="W51" s="13"/>
    </row>
    <row r="52" spans="1:23" x14ac:dyDescent="0.3">
      <c r="A52" s="2" t="s">
        <v>2</v>
      </c>
      <c r="B52" s="4">
        <v>14648.35</v>
      </c>
      <c r="C52" s="8">
        <v>44530</v>
      </c>
      <c r="D52" s="2">
        <v>24.7</v>
      </c>
      <c r="E52" s="3">
        <v>4.17</v>
      </c>
      <c r="F52" s="4">
        <v>1.1100000000000001</v>
      </c>
      <c r="G52" s="3">
        <v>22447.74</v>
      </c>
      <c r="H52" s="3">
        <f t="shared" si="0"/>
        <v>593.05060728744945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4"/>
      <c r="V52" s="12"/>
      <c r="W52" s="12"/>
    </row>
    <row r="53" spans="1:23" x14ac:dyDescent="0.3">
      <c r="A53" s="5" t="s">
        <v>2</v>
      </c>
      <c r="B53" s="7">
        <v>15086.9</v>
      </c>
      <c r="C53" s="9">
        <v>44498</v>
      </c>
      <c r="D53" s="5">
        <v>26.92</v>
      </c>
      <c r="E53" s="6">
        <v>4.29</v>
      </c>
      <c r="F53" s="7">
        <v>1.07</v>
      </c>
      <c r="G53" s="6">
        <v>23100.97</v>
      </c>
      <c r="H53" s="6">
        <f t="shared" si="0"/>
        <v>560.43462109955419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4"/>
      <c r="V53" s="13"/>
      <c r="W53" s="13"/>
    </row>
    <row r="54" spans="1:23" x14ac:dyDescent="0.3">
      <c r="A54" s="2" t="s">
        <v>2</v>
      </c>
      <c r="B54" s="4">
        <v>15052.65</v>
      </c>
      <c r="C54" s="8">
        <v>44469</v>
      </c>
      <c r="D54" s="2">
        <v>28.02</v>
      </c>
      <c r="E54" s="3">
        <v>4.2699999999999996</v>
      </c>
      <c r="F54" s="4">
        <v>1.1100000000000001</v>
      </c>
      <c r="G54" s="3">
        <v>23029.08</v>
      </c>
      <c r="H54" s="3">
        <f t="shared" si="0"/>
        <v>537.21092077087792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4"/>
      <c r="V54" s="12"/>
      <c r="W54" s="12"/>
    </row>
    <row r="55" spans="1:23" x14ac:dyDescent="0.3">
      <c r="A55" s="5" t="s">
        <v>2</v>
      </c>
      <c r="B55" s="7">
        <v>14555.9</v>
      </c>
      <c r="C55" s="9">
        <v>44439</v>
      </c>
      <c r="D55" s="5">
        <v>27.21</v>
      </c>
      <c r="E55" s="6">
        <v>4.2</v>
      </c>
      <c r="F55" s="7">
        <v>1.01</v>
      </c>
      <c r="G55" s="6">
        <v>22253.61</v>
      </c>
      <c r="H55" s="6">
        <f t="shared" si="0"/>
        <v>534.94671076809993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4"/>
      <c r="V55" s="13"/>
      <c r="W55" s="13"/>
    </row>
    <row r="56" spans="1:23" x14ac:dyDescent="0.3">
      <c r="A56" s="2" t="s">
        <v>2</v>
      </c>
      <c r="B56" s="4">
        <v>13664.25</v>
      </c>
      <c r="C56" s="8">
        <v>44407</v>
      </c>
      <c r="D56" s="2">
        <v>28.82</v>
      </c>
      <c r="E56" s="3">
        <v>4.0599999999999996</v>
      </c>
      <c r="F56" s="4">
        <v>1.08</v>
      </c>
      <c r="G56" s="3">
        <v>20876.599999999999</v>
      </c>
      <c r="H56" s="3">
        <f t="shared" si="0"/>
        <v>474.12387231089519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4"/>
      <c r="V56" s="12"/>
      <c r="W56" s="12"/>
    </row>
    <row r="57" spans="1:23" x14ac:dyDescent="0.3">
      <c r="A57" s="5" t="s">
        <v>2</v>
      </c>
      <c r="B57" s="7">
        <v>13473.55</v>
      </c>
      <c r="C57" s="9">
        <v>44377</v>
      </c>
      <c r="D57" s="5">
        <v>30.2</v>
      </c>
      <c r="E57" s="6">
        <v>4.16</v>
      </c>
      <c r="F57" s="7">
        <v>1.1299999999999999</v>
      </c>
      <c r="G57" s="6">
        <v>20552.2</v>
      </c>
      <c r="H57" s="6">
        <f t="shared" si="0"/>
        <v>446.14403973509934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4"/>
      <c r="V57" s="13"/>
      <c r="W57" s="13"/>
    </row>
    <row r="58" spans="1:23" x14ac:dyDescent="0.3">
      <c r="A58" s="2" t="s">
        <v>2</v>
      </c>
      <c r="B58" s="4">
        <v>13226.35</v>
      </c>
      <c r="C58" s="8">
        <v>44347</v>
      </c>
      <c r="D58" s="2">
        <v>31.33</v>
      </c>
      <c r="E58" s="3">
        <v>4.2300000000000004</v>
      </c>
      <c r="F58" s="4">
        <v>0.99</v>
      </c>
      <c r="G58" s="3">
        <v>20138.099999999999</v>
      </c>
      <c r="H58" s="3">
        <f t="shared" si="0"/>
        <v>422.16246409192473</v>
      </c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4"/>
      <c r="V58" s="12"/>
      <c r="W58" s="12"/>
    </row>
    <row r="59" spans="1:23" x14ac:dyDescent="0.3">
      <c r="A59" s="5" t="s">
        <v>2</v>
      </c>
      <c r="B59" s="7">
        <v>12364.35</v>
      </c>
      <c r="C59" s="9">
        <v>44316</v>
      </c>
      <c r="D59" s="5">
        <v>35.369999999999997</v>
      </c>
      <c r="E59" s="6">
        <v>3.98</v>
      </c>
      <c r="F59" s="7">
        <v>0.98</v>
      </c>
      <c r="G59" s="6">
        <v>18802.03</v>
      </c>
      <c r="H59" s="6">
        <f t="shared" si="0"/>
        <v>349.57167090754882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4"/>
      <c r="V59" s="13"/>
      <c r="W59" s="13"/>
    </row>
    <row r="60" spans="1:23" x14ac:dyDescent="0.3">
      <c r="A60" s="2" t="s">
        <v>2</v>
      </c>
      <c r="B60" s="4">
        <v>12313.7</v>
      </c>
      <c r="C60" s="8">
        <v>44286</v>
      </c>
      <c r="D60" s="2">
        <v>35.89</v>
      </c>
      <c r="E60" s="3">
        <v>3.96</v>
      </c>
      <c r="F60" s="4">
        <v>0.95</v>
      </c>
      <c r="G60" s="3">
        <v>18717.240000000002</v>
      </c>
      <c r="H60" s="3">
        <f t="shared" si="0"/>
        <v>343.09556979660073</v>
      </c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4"/>
      <c r="V60" s="12"/>
      <c r="W60" s="12"/>
    </row>
    <row r="61" spans="1:23" x14ac:dyDescent="0.3">
      <c r="A61" s="5" t="s">
        <v>2</v>
      </c>
      <c r="B61" s="7">
        <v>12181.4</v>
      </c>
      <c r="C61" s="9">
        <v>44253</v>
      </c>
      <c r="D61" s="5">
        <v>42.65</v>
      </c>
      <c r="E61" s="6">
        <v>3.93</v>
      </c>
      <c r="F61" s="7">
        <v>1.1399999999999999</v>
      </c>
      <c r="G61" s="6">
        <v>18504.86</v>
      </c>
      <c r="H61" s="6">
        <f t="shared" si="0"/>
        <v>285.61313012895664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4"/>
      <c r="V61" s="13"/>
      <c r="W61" s="13"/>
    </row>
    <row r="62" spans="1:23" x14ac:dyDescent="0.3">
      <c r="A62" s="2" t="s">
        <v>2</v>
      </c>
      <c r="B62" s="4">
        <v>11302.4</v>
      </c>
      <c r="C62" s="8">
        <v>44225</v>
      </c>
      <c r="D62" s="2">
        <v>40.19</v>
      </c>
      <c r="E62" s="3">
        <v>3.65</v>
      </c>
      <c r="F62" s="4">
        <v>1.23</v>
      </c>
      <c r="G62" s="3">
        <v>17147.27</v>
      </c>
      <c r="H62" s="3">
        <f t="shared" si="0"/>
        <v>281.22418512067679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4"/>
      <c r="V62" s="12"/>
      <c r="W62" s="12"/>
    </row>
    <row r="63" spans="1:23" x14ac:dyDescent="0.3">
      <c r="A63" s="5" t="s">
        <v>2</v>
      </c>
      <c r="B63" s="7">
        <v>11518.3</v>
      </c>
      <c r="C63" s="9">
        <v>44196</v>
      </c>
      <c r="D63" s="5">
        <v>43.39</v>
      </c>
      <c r="E63" s="6">
        <v>3.72</v>
      </c>
      <c r="F63" s="7">
        <v>1.21</v>
      </c>
      <c r="G63" s="6">
        <v>17470.79</v>
      </c>
      <c r="H63" s="6">
        <f t="shared" si="0"/>
        <v>265.45978336022125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4"/>
      <c r="V63" s="13"/>
      <c r="W63" s="13"/>
    </row>
    <row r="64" spans="1:23" x14ac:dyDescent="0.3">
      <c r="A64" s="2" t="s">
        <v>2</v>
      </c>
      <c r="B64" s="4">
        <v>10719.05</v>
      </c>
      <c r="C64" s="8">
        <v>44162</v>
      </c>
      <c r="D64" s="2">
        <v>40.58</v>
      </c>
      <c r="E64" s="3">
        <v>3.47</v>
      </c>
      <c r="F64" s="4">
        <v>1.31</v>
      </c>
      <c r="G64" s="3">
        <v>16255.62</v>
      </c>
      <c r="H64" s="3">
        <f t="shared" si="0"/>
        <v>264.14613109906355</v>
      </c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4"/>
      <c r="V64" s="12"/>
      <c r="W64" s="12"/>
    </row>
    <row r="65" spans="1:23" x14ac:dyDescent="0.3">
      <c r="A65" s="5" t="s">
        <v>2</v>
      </c>
      <c r="B65" s="7">
        <v>9581.65</v>
      </c>
      <c r="C65" s="9">
        <v>44134</v>
      </c>
      <c r="D65" s="5">
        <v>37</v>
      </c>
      <c r="E65" s="6">
        <v>3.1</v>
      </c>
      <c r="F65" s="7">
        <v>1.46</v>
      </c>
      <c r="G65" s="6">
        <v>14521.56</v>
      </c>
      <c r="H65" s="6">
        <f t="shared" si="0"/>
        <v>258.96351351351348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4"/>
      <c r="V65" s="13"/>
      <c r="W65" s="13"/>
    </row>
    <row r="66" spans="1:23" x14ac:dyDescent="0.3">
      <c r="A66" s="2" t="s">
        <v>2</v>
      </c>
      <c r="B66" s="4">
        <v>9341.75</v>
      </c>
      <c r="C66" s="8">
        <v>44104</v>
      </c>
      <c r="D66" s="2">
        <v>40.630000000000003</v>
      </c>
      <c r="E66" s="3">
        <v>3.01</v>
      </c>
      <c r="F66" s="4">
        <v>1.49</v>
      </c>
      <c r="G66" s="3">
        <v>14139.78</v>
      </c>
      <c r="H66" s="3">
        <f t="shared" ref="H66:H129" si="1">B66/D66</f>
        <v>229.92247108048238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4"/>
      <c r="V66" s="12"/>
      <c r="W66" s="12"/>
    </row>
    <row r="67" spans="1:23" x14ac:dyDescent="0.3">
      <c r="A67" s="5" t="s">
        <v>2</v>
      </c>
      <c r="B67" s="7">
        <v>9372.0499999999993</v>
      </c>
      <c r="C67" s="9">
        <v>44074</v>
      </c>
      <c r="D67" s="5">
        <v>36.880000000000003</v>
      </c>
      <c r="E67" s="6">
        <v>3.02</v>
      </c>
      <c r="F67" s="7">
        <v>1.41</v>
      </c>
      <c r="G67" s="6">
        <v>14179.34</v>
      </c>
      <c r="H67" s="6">
        <f t="shared" si="1"/>
        <v>254.122830802603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4"/>
      <c r="V67" s="13"/>
      <c r="W67" s="13"/>
    </row>
    <row r="68" spans="1:23" x14ac:dyDescent="0.3">
      <c r="A68" s="2" t="s">
        <v>2</v>
      </c>
      <c r="B68" s="4">
        <v>9035.75</v>
      </c>
      <c r="C68" s="8">
        <v>44043</v>
      </c>
      <c r="D68" s="2">
        <v>32.9</v>
      </c>
      <c r="E68" s="3">
        <v>2.94</v>
      </c>
      <c r="F68" s="4">
        <v>1.44</v>
      </c>
      <c r="G68" s="3">
        <v>13654.79</v>
      </c>
      <c r="H68" s="3">
        <f t="shared" si="1"/>
        <v>274.64285714285717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4"/>
      <c r="V68" s="12"/>
      <c r="W68" s="12"/>
    </row>
    <row r="69" spans="1:23" x14ac:dyDescent="0.3">
      <c r="A69" s="5" t="s">
        <v>2</v>
      </c>
      <c r="B69" s="7">
        <v>8474.7999999999993</v>
      </c>
      <c r="C69" s="9">
        <v>44012</v>
      </c>
      <c r="D69" s="5">
        <v>29.35</v>
      </c>
      <c r="E69" s="6">
        <v>2.82</v>
      </c>
      <c r="F69" s="7">
        <v>1.47</v>
      </c>
      <c r="G69" s="6">
        <v>12783.45</v>
      </c>
      <c r="H69" s="6">
        <f t="shared" si="1"/>
        <v>288.74957410562178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4"/>
      <c r="V69" s="13"/>
      <c r="W69" s="13"/>
    </row>
    <row r="70" spans="1:23" x14ac:dyDescent="0.3">
      <c r="A70" s="2" t="s">
        <v>2</v>
      </c>
      <c r="B70" s="4">
        <v>7822.4</v>
      </c>
      <c r="C70" s="8">
        <v>43980</v>
      </c>
      <c r="D70" s="2">
        <v>25.18</v>
      </c>
      <c r="E70" s="3">
        <v>2.5499999999999998</v>
      </c>
      <c r="F70" s="4">
        <v>1.53</v>
      </c>
      <c r="G70" s="3">
        <v>11793.53</v>
      </c>
      <c r="H70" s="3">
        <f t="shared" si="1"/>
        <v>310.65925337569496</v>
      </c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4"/>
      <c r="V70" s="12"/>
      <c r="W70" s="12"/>
    </row>
    <row r="71" spans="1:23" x14ac:dyDescent="0.3">
      <c r="A71" s="5" t="s">
        <v>2</v>
      </c>
      <c r="B71" s="7">
        <v>8012.9</v>
      </c>
      <c r="C71" s="9">
        <v>43951</v>
      </c>
      <c r="D71" s="5">
        <v>25.07</v>
      </c>
      <c r="E71" s="6">
        <v>2.63</v>
      </c>
      <c r="F71" s="7">
        <v>1.49</v>
      </c>
      <c r="G71" s="6">
        <v>12072.43</v>
      </c>
      <c r="H71" s="6">
        <f t="shared" si="1"/>
        <v>319.62106102911844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4"/>
      <c r="V71" s="13"/>
      <c r="W71" s="13"/>
    </row>
    <row r="72" spans="1:23" x14ac:dyDescent="0.3">
      <c r="A72" s="2" t="s">
        <v>2</v>
      </c>
      <c r="B72" s="4">
        <v>6996.75</v>
      </c>
      <c r="C72" s="8">
        <v>43921</v>
      </c>
      <c r="D72" s="2">
        <v>21.8</v>
      </c>
      <c r="E72" s="3">
        <v>2.29</v>
      </c>
      <c r="F72" s="4">
        <v>1.71</v>
      </c>
      <c r="G72" s="3">
        <v>10540.43</v>
      </c>
      <c r="H72" s="3">
        <f t="shared" si="1"/>
        <v>320.95183486238528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4"/>
      <c r="V72" s="12"/>
      <c r="W72" s="12"/>
    </row>
    <row r="73" spans="1:23" x14ac:dyDescent="0.3">
      <c r="A73" s="5" t="s">
        <v>2</v>
      </c>
      <c r="B73" s="7">
        <v>9236.0499999999993</v>
      </c>
      <c r="C73" s="9">
        <v>43889</v>
      </c>
      <c r="D73" s="5">
        <v>29.07</v>
      </c>
      <c r="E73" s="6">
        <v>3.01</v>
      </c>
      <c r="F73" s="7">
        <v>1.29</v>
      </c>
      <c r="G73" s="6">
        <v>13875.34</v>
      </c>
      <c r="H73" s="6">
        <f t="shared" si="1"/>
        <v>317.71757825937391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4"/>
      <c r="V73" s="13"/>
      <c r="W73" s="13"/>
    </row>
    <row r="74" spans="1:23" x14ac:dyDescent="0.3">
      <c r="A74" s="2" t="s">
        <v>2</v>
      </c>
      <c r="B74" s="4">
        <v>9861.4500000000007</v>
      </c>
      <c r="C74" s="8">
        <v>43861</v>
      </c>
      <c r="D74" s="2">
        <v>30.01</v>
      </c>
      <c r="E74" s="3">
        <v>3.22</v>
      </c>
      <c r="F74" s="4">
        <v>1.21</v>
      </c>
      <c r="G74" s="3">
        <v>14804.57</v>
      </c>
      <c r="H74" s="3">
        <f t="shared" si="1"/>
        <v>328.60546484505164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4"/>
      <c r="V74" s="12"/>
      <c r="W74" s="12"/>
    </row>
    <row r="75" spans="1:23" x14ac:dyDescent="0.3">
      <c r="A75" s="5" t="s">
        <v>2</v>
      </c>
      <c r="B75" s="7">
        <v>9872.5499999999993</v>
      </c>
      <c r="C75" s="9">
        <v>43830</v>
      </c>
      <c r="D75" s="5">
        <v>30.84</v>
      </c>
      <c r="E75" s="6">
        <v>3.45</v>
      </c>
      <c r="F75" s="7">
        <v>1.2</v>
      </c>
      <c r="G75" s="6">
        <v>14819.29</v>
      </c>
      <c r="H75" s="6">
        <f t="shared" si="1"/>
        <v>320.1215953307393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4"/>
      <c r="V75" s="13"/>
      <c r="W75" s="13"/>
    </row>
    <row r="76" spans="1:23" x14ac:dyDescent="0.3">
      <c r="A76" s="2" t="s">
        <v>2</v>
      </c>
      <c r="B76" s="4">
        <v>9813.65</v>
      </c>
      <c r="C76" s="8">
        <v>43798</v>
      </c>
      <c r="D76" s="2">
        <v>29.83</v>
      </c>
      <c r="E76" s="3">
        <v>3.37</v>
      </c>
      <c r="F76" s="4">
        <v>1.21</v>
      </c>
      <c r="G76" s="3">
        <v>14729.77</v>
      </c>
      <c r="H76" s="3">
        <f t="shared" si="1"/>
        <v>328.98592021454914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4"/>
      <c r="V76" s="12"/>
      <c r="W76" s="12"/>
    </row>
    <row r="77" spans="1:23" x14ac:dyDescent="0.3">
      <c r="A77" s="5" t="s">
        <v>2</v>
      </c>
      <c r="B77" s="7">
        <v>9689.65</v>
      </c>
      <c r="C77" s="9">
        <v>43769</v>
      </c>
      <c r="D77" s="5">
        <v>29.28</v>
      </c>
      <c r="E77" s="6">
        <v>3.32</v>
      </c>
      <c r="F77" s="7">
        <v>1.22</v>
      </c>
      <c r="G77" s="6">
        <v>14539.09</v>
      </c>
      <c r="H77" s="6">
        <f t="shared" si="1"/>
        <v>330.93066939890707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4"/>
      <c r="V77" s="13"/>
      <c r="W77" s="13"/>
    </row>
    <row r="78" spans="1:23" x14ac:dyDescent="0.3">
      <c r="A78" s="2" t="s">
        <v>2</v>
      </c>
      <c r="B78" s="4">
        <v>9340.9</v>
      </c>
      <c r="C78" s="8">
        <v>43738</v>
      </c>
      <c r="D78" s="2">
        <v>28.22</v>
      </c>
      <c r="E78" s="3">
        <v>3.2</v>
      </c>
      <c r="F78" s="4">
        <v>1.27</v>
      </c>
      <c r="G78" s="3">
        <v>13997.16</v>
      </c>
      <c r="H78" s="3">
        <f t="shared" si="1"/>
        <v>331.00283486888731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4"/>
      <c r="V78" s="12"/>
      <c r="W78" s="12"/>
    </row>
    <row r="79" spans="1:23" x14ac:dyDescent="0.3">
      <c r="A79" s="5" t="s">
        <v>2</v>
      </c>
      <c r="B79" s="7">
        <v>8977.5499999999993</v>
      </c>
      <c r="C79" s="9">
        <v>43707</v>
      </c>
      <c r="D79" s="5">
        <v>29.19</v>
      </c>
      <c r="E79" s="6">
        <v>3.04</v>
      </c>
      <c r="F79" s="7">
        <v>1.33</v>
      </c>
      <c r="G79" s="6">
        <v>13449.3</v>
      </c>
      <c r="H79" s="6">
        <f t="shared" si="1"/>
        <v>307.55566974991433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4"/>
      <c r="V79" s="13"/>
      <c r="W79" s="13"/>
    </row>
    <row r="80" spans="1:23" x14ac:dyDescent="0.3">
      <c r="A80" s="2" t="s">
        <v>2</v>
      </c>
      <c r="B80" s="4">
        <v>9044.9500000000007</v>
      </c>
      <c r="C80" s="8">
        <v>43677</v>
      </c>
      <c r="D80" s="2">
        <v>29.25</v>
      </c>
      <c r="E80" s="3">
        <v>3.14</v>
      </c>
      <c r="F80" s="4">
        <v>1.29</v>
      </c>
      <c r="G80" s="3">
        <v>13522.1</v>
      </c>
      <c r="H80" s="3">
        <f t="shared" si="1"/>
        <v>309.22905982905985</v>
      </c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4"/>
      <c r="V80" s="12"/>
      <c r="W80" s="12"/>
    </row>
    <row r="81" spans="1:23" x14ac:dyDescent="0.3">
      <c r="A81" s="5" t="s">
        <v>2</v>
      </c>
      <c r="B81" s="7">
        <v>9657.9500000000007</v>
      </c>
      <c r="C81" s="9">
        <v>43644</v>
      </c>
      <c r="D81" s="5">
        <v>30.96</v>
      </c>
      <c r="E81" s="6">
        <v>3.41</v>
      </c>
      <c r="F81" s="7">
        <v>1.17</v>
      </c>
      <c r="G81" s="6">
        <v>14398.8</v>
      </c>
      <c r="H81" s="6">
        <f t="shared" si="1"/>
        <v>311.94928940568479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4"/>
      <c r="V81" s="13"/>
      <c r="W81" s="13"/>
    </row>
    <row r="82" spans="1:23" x14ac:dyDescent="0.3">
      <c r="A82" s="2" t="s">
        <v>2</v>
      </c>
      <c r="B82" s="4">
        <v>9805.0499999999993</v>
      </c>
      <c r="C82" s="8">
        <v>43616</v>
      </c>
      <c r="D82" s="2">
        <v>31.64</v>
      </c>
      <c r="E82" s="3">
        <v>3.52</v>
      </c>
      <c r="F82" s="4">
        <v>1.1399999999999999</v>
      </c>
      <c r="G82" s="3">
        <v>14591.01</v>
      </c>
      <c r="H82" s="3">
        <f t="shared" si="1"/>
        <v>309.89412136536026</v>
      </c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4"/>
      <c r="V82" s="12"/>
      <c r="W82" s="12"/>
    </row>
    <row r="83" spans="1:23" x14ac:dyDescent="0.3">
      <c r="A83" s="5" t="s">
        <v>2</v>
      </c>
      <c r="B83" s="7">
        <v>9664.2999999999993</v>
      </c>
      <c r="C83" s="9">
        <v>43585</v>
      </c>
      <c r="D83" s="5">
        <v>31.22</v>
      </c>
      <c r="E83" s="6">
        <v>3.46</v>
      </c>
      <c r="F83" s="7">
        <v>1.08</v>
      </c>
      <c r="G83" s="6">
        <v>14366.33</v>
      </c>
      <c r="H83" s="6">
        <f t="shared" si="1"/>
        <v>309.55477258167838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4"/>
      <c r="V83" s="13"/>
      <c r="W83" s="13"/>
    </row>
    <row r="84" spans="1:23" x14ac:dyDescent="0.3">
      <c r="A84" s="2" t="s">
        <v>2</v>
      </c>
      <c r="B84" s="4">
        <v>9663.7000000000007</v>
      </c>
      <c r="C84" s="8">
        <v>43553</v>
      </c>
      <c r="D84" s="2">
        <v>31.22</v>
      </c>
      <c r="E84" s="3">
        <v>3.45</v>
      </c>
      <c r="F84" s="4">
        <v>1.08</v>
      </c>
      <c r="G84" s="3">
        <v>14364.59</v>
      </c>
      <c r="H84" s="3">
        <f t="shared" si="1"/>
        <v>309.53555413196671</v>
      </c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4"/>
      <c r="V84" s="12"/>
      <c r="W84" s="12"/>
    </row>
    <row r="85" spans="1:23" x14ac:dyDescent="0.3">
      <c r="A85" s="5" t="s">
        <v>2</v>
      </c>
      <c r="B85" s="7">
        <v>8955.9500000000007</v>
      </c>
      <c r="C85" s="9">
        <v>43524</v>
      </c>
      <c r="D85" s="5">
        <v>29.23</v>
      </c>
      <c r="E85" s="6">
        <v>3.17</v>
      </c>
      <c r="F85" s="7">
        <v>1.17</v>
      </c>
      <c r="G85" s="6">
        <v>13303.2</v>
      </c>
      <c r="H85" s="6">
        <f t="shared" si="1"/>
        <v>306.3958262059528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4"/>
      <c r="V85" s="13"/>
      <c r="W85" s="13"/>
    </row>
    <row r="86" spans="1:23" x14ac:dyDescent="0.3">
      <c r="A86" s="2" t="s">
        <v>2</v>
      </c>
      <c r="B86" s="4">
        <v>9003.85</v>
      </c>
      <c r="C86" s="8">
        <v>43496</v>
      </c>
      <c r="D86" s="2">
        <v>29.13</v>
      </c>
      <c r="E86" s="3">
        <v>3.15</v>
      </c>
      <c r="F86" s="4">
        <v>1.1599999999999999</v>
      </c>
      <c r="G86" s="3">
        <v>13357.8</v>
      </c>
      <c r="H86" s="3">
        <f t="shared" si="1"/>
        <v>309.09200137315486</v>
      </c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4"/>
      <c r="V86" s="12"/>
      <c r="W86" s="12"/>
    </row>
    <row r="87" spans="1:23" x14ac:dyDescent="0.3">
      <c r="A87" s="5" t="s">
        <v>2</v>
      </c>
      <c r="B87" s="7">
        <v>9170</v>
      </c>
      <c r="C87" s="9">
        <v>43465</v>
      </c>
      <c r="D87" s="5">
        <v>29.61</v>
      </c>
      <c r="E87" s="6">
        <v>3.2</v>
      </c>
      <c r="F87" s="7">
        <v>1.1399999999999999</v>
      </c>
      <c r="G87" s="6">
        <v>13599.13</v>
      </c>
      <c r="H87" s="6">
        <f t="shared" si="1"/>
        <v>309.69267139479905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4"/>
      <c r="V87" s="13"/>
      <c r="W87" s="13"/>
    </row>
    <row r="88" spans="1:23" x14ac:dyDescent="0.3">
      <c r="A88" s="2" t="s">
        <v>2</v>
      </c>
      <c r="B88" s="4">
        <v>9109.15</v>
      </c>
      <c r="C88" s="8">
        <v>43434</v>
      </c>
      <c r="D88" s="2">
        <v>29.61</v>
      </c>
      <c r="E88" s="3">
        <v>3.23</v>
      </c>
      <c r="F88" s="4">
        <v>1.1399999999999999</v>
      </c>
      <c r="G88" s="3">
        <v>13503.06</v>
      </c>
      <c r="H88" s="3">
        <f t="shared" si="1"/>
        <v>307.63762242485649</v>
      </c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4"/>
      <c r="V88" s="12"/>
      <c r="W88" s="12"/>
    </row>
    <row r="89" spans="1:23" x14ac:dyDescent="0.3">
      <c r="A89" s="5" t="s">
        <v>2</v>
      </c>
      <c r="B89" s="7">
        <v>8753.4500000000007</v>
      </c>
      <c r="C89" s="9">
        <v>43404</v>
      </c>
      <c r="D89" s="5">
        <v>28.88</v>
      </c>
      <c r="E89" s="6">
        <v>3.1</v>
      </c>
      <c r="F89" s="7">
        <v>1.19</v>
      </c>
      <c r="G89" s="6">
        <v>12969.63</v>
      </c>
      <c r="H89" s="6">
        <f t="shared" si="1"/>
        <v>303.0972991689751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4"/>
      <c r="V89" s="13"/>
      <c r="W89" s="13"/>
    </row>
    <row r="90" spans="1:23" x14ac:dyDescent="0.3">
      <c r="A90" s="2" t="s">
        <v>2</v>
      </c>
      <c r="B90" s="4">
        <v>9116</v>
      </c>
      <c r="C90" s="8">
        <v>43371</v>
      </c>
      <c r="D90" s="2">
        <v>30.21</v>
      </c>
      <c r="E90" s="3">
        <v>3.24</v>
      </c>
      <c r="F90" s="4">
        <v>1.1499999999999999</v>
      </c>
      <c r="G90" s="3">
        <v>13496.26</v>
      </c>
      <c r="H90" s="3">
        <f t="shared" si="1"/>
        <v>301.75438596491227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4"/>
      <c r="V90" s="12"/>
      <c r="W90" s="12"/>
    </row>
    <row r="91" spans="1:23" x14ac:dyDescent="0.3">
      <c r="A91" s="5" t="s">
        <v>2</v>
      </c>
      <c r="B91" s="7">
        <v>9992</v>
      </c>
      <c r="C91" s="9">
        <v>43343</v>
      </c>
      <c r="D91" s="5">
        <v>34.5</v>
      </c>
      <c r="E91" s="6">
        <v>3.52</v>
      </c>
      <c r="F91" s="7">
        <v>1.04</v>
      </c>
      <c r="G91" s="6">
        <v>14782.95</v>
      </c>
      <c r="H91" s="6">
        <f t="shared" si="1"/>
        <v>289.62318840579712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4"/>
      <c r="V91" s="13"/>
      <c r="W91" s="13"/>
    </row>
    <row r="92" spans="1:23" x14ac:dyDescent="0.3">
      <c r="A92" s="2" t="s">
        <v>2</v>
      </c>
      <c r="B92" s="4">
        <v>9650.6</v>
      </c>
      <c r="C92" s="8">
        <v>43312</v>
      </c>
      <c r="D92" s="2">
        <v>33.590000000000003</v>
      </c>
      <c r="E92" s="3">
        <v>3.45</v>
      </c>
      <c r="F92" s="4">
        <v>1.08</v>
      </c>
      <c r="G92" s="3">
        <v>14257.02</v>
      </c>
      <c r="H92" s="3">
        <f t="shared" si="1"/>
        <v>287.30574575766593</v>
      </c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4"/>
      <c r="V92" s="12"/>
      <c r="W92" s="12"/>
    </row>
    <row r="93" spans="1:23" x14ac:dyDescent="0.3">
      <c r="A93" s="5" t="s">
        <v>2</v>
      </c>
      <c r="B93" s="7">
        <v>9162.4500000000007</v>
      </c>
      <c r="C93" s="9">
        <v>43280</v>
      </c>
      <c r="D93" s="5">
        <v>30.47</v>
      </c>
      <c r="E93" s="6">
        <v>3.37</v>
      </c>
      <c r="F93" s="7">
        <v>1.0900000000000001</v>
      </c>
      <c r="G93" s="6">
        <v>13503.29</v>
      </c>
      <c r="H93" s="6">
        <f t="shared" si="1"/>
        <v>300.7039711191336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4"/>
      <c r="V93" s="13"/>
      <c r="W93" s="13"/>
    </row>
    <row r="94" spans="1:23" x14ac:dyDescent="0.3">
      <c r="A94" s="2" t="s">
        <v>2</v>
      </c>
      <c r="B94" s="4">
        <v>9315.35</v>
      </c>
      <c r="C94" s="8">
        <v>43251</v>
      </c>
      <c r="D94" s="2">
        <v>31.59</v>
      </c>
      <c r="E94" s="3">
        <v>3.49</v>
      </c>
      <c r="F94" s="4">
        <v>1.08</v>
      </c>
      <c r="G94" s="3">
        <v>13705.62</v>
      </c>
      <c r="H94" s="3">
        <f t="shared" si="1"/>
        <v>294.8828743273188</v>
      </c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4"/>
      <c r="V94" s="12"/>
      <c r="W94" s="12"/>
    </row>
    <row r="95" spans="1:23" x14ac:dyDescent="0.3">
      <c r="A95" s="5" t="s">
        <v>2</v>
      </c>
      <c r="B95" s="7">
        <v>9496.5</v>
      </c>
      <c r="C95" s="9">
        <v>43220</v>
      </c>
      <c r="D95" s="5">
        <v>31.36</v>
      </c>
      <c r="E95" s="6">
        <v>3.56</v>
      </c>
      <c r="F95" s="7">
        <v>1.04</v>
      </c>
      <c r="G95" s="6">
        <v>13950.42</v>
      </c>
      <c r="H95" s="6">
        <f t="shared" si="1"/>
        <v>302.8220663265306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4"/>
      <c r="V95" s="13"/>
      <c r="W95" s="13"/>
    </row>
    <row r="96" spans="1:23" x14ac:dyDescent="0.3">
      <c r="A96" s="2" t="s">
        <v>2</v>
      </c>
      <c r="B96" s="4">
        <v>8912.1</v>
      </c>
      <c r="C96" s="8">
        <v>43187</v>
      </c>
      <c r="D96" s="2">
        <v>29.65</v>
      </c>
      <c r="E96" s="3">
        <v>3.27</v>
      </c>
      <c r="F96" s="4">
        <v>1.1200000000000001</v>
      </c>
      <c r="G96" s="3">
        <v>13090.98</v>
      </c>
      <c r="H96" s="3">
        <f t="shared" si="1"/>
        <v>300.57672849915684</v>
      </c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4"/>
      <c r="V96" s="12"/>
      <c r="W96" s="12"/>
    </row>
    <row r="97" spans="1:23" x14ac:dyDescent="0.3">
      <c r="A97" s="5" t="s">
        <v>2</v>
      </c>
      <c r="B97" s="7">
        <v>9261.9</v>
      </c>
      <c r="C97" s="9">
        <v>43159</v>
      </c>
      <c r="D97" s="5">
        <v>30.75</v>
      </c>
      <c r="E97" s="6">
        <v>3.39</v>
      </c>
      <c r="F97" s="7">
        <v>0.97</v>
      </c>
      <c r="G97" s="6">
        <v>13585.49</v>
      </c>
      <c r="H97" s="6">
        <f t="shared" si="1"/>
        <v>301.2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4"/>
      <c r="V97" s="13"/>
      <c r="W97" s="13"/>
    </row>
    <row r="98" spans="1:23" x14ac:dyDescent="0.3">
      <c r="A98" s="2" t="s">
        <v>2</v>
      </c>
      <c r="B98" s="4">
        <v>9697.9</v>
      </c>
      <c r="C98" s="8">
        <v>43131</v>
      </c>
      <c r="D98" s="2">
        <v>32.36</v>
      </c>
      <c r="E98" s="3">
        <v>3.54</v>
      </c>
      <c r="F98" s="4">
        <v>0.89</v>
      </c>
      <c r="G98" s="3">
        <v>14203.09</v>
      </c>
      <c r="H98" s="3">
        <f t="shared" si="1"/>
        <v>299.6878862793572</v>
      </c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4"/>
      <c r="V98" s="12"/>
      <c r="W98" s="12"/>
    </row>
    <row r="99" spans="1:23" x14ac:dyDescent="0.3">
      <c r="A99" s="5" t="s">
        <v>2</v>
      </c>
      <c r="B99" s="7">
        <v>9490.65</v>
      </c>
      <c r="C99" s="9">
        <v>43098</v>
      </c>
      <c r="D99" s="5">
        <v>32.549999999999997</v>
      </c>
      <c r="E99" s="6">
        <v>3.46</v>
      </c>
      <c r="F99" s="7">
        <v>0.91</v>
      </c>
      <c r="G99" s="6">
        <v>13896.02</v>
      </c>
      <c r="H99" s="6">
        <f t="shared" si="1"/>
        <v>291.57142857142861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4"/>
      <c r="V99" s="13"/>
      <c r="W99" s="13"/>
    </row>
    <row r="100" spans="1:23" x14ac:dyDescent="0.3">
      <c r="A100" s="2" t="s">
        <v>2</v>
      </c>
      <c r="B100" s="4">
        <v>9154.5</v>
      </c>
      <c r="C100" s="8">
        <v>43069</v>
      </c>
      <c r="D100" s="2">
        <v>31.44</v>
      </c>
      <c r="E100" s="3">
        <v>3.33</v>
      </c>
      <c r="F100" s="4">
        <v>0.95</v>
      </c>
      <c r="G100" s="3">
        <v>13403.72</v>
      </c>
      <c r="H100" s="3">
        <f t="shared" si="1"/>
        <v>291.17366412213738</v>
      </c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4"/>
      <c r="V100" s="12"/>
      <c r="W100" s="12"/>
    </row>
    <row r="101" spans="1:23" x14ac:dyDescent="0.3">
      <c r="A101" s="5" t="s">
        <v>2</v>
      </c>
      <c r="B101" s="7">
        <v>9153.6</v>
      </c>
      <c r="C101" s="9">
        <v>43039</v>
      </c>
      <c r="D101" s="5">
        <v>31.05</v>
      </c>
      <c r="E101" s="6">
        <v>3.34</v>
      </c>
      <c r="F101" s="7">
        <v>0.94</v>
      </c>
      <c r="G101" s="6">
        <v>13394.75</v>
      </c>
      <c r="H101" s="6">
        <f t="shared" si="1"/>
        <v>294.80193236714979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4"/>
      <c r="V101" s="13"/>
      <c r="W101" s="13"/>
    </row>
    <row r="102" spans="1:23" x14ac:dyDescent="0.3">
      <c r="A102" s="2" t="s">
        <v>2</v>
      </c>
      <c r="B102" s="4">
        <v>8600</v>
      </c>
      <c r="C102" s="8">
        <v>43007</v>
      </c>
      <c r="D102" s="2">
        <v>29.58</v>
      </c>
      <c r="E102" s="3">
        <v>3.18</v>
      </c>
      <c r="F102" s="4">
        <v>1.03</v>
      </c>
      <c r="G102" s="3">
        <v>12577.95</v>
      </c>
      <c r="H102" s="3">
        <f t="shared" si="1"/>
        <v>290.736984448952</v>
      </c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4"/>
      <c r="V102" s="12"/>
      <c r="W102" s="12"/>
    </row>
    <row r="103" spans="1:23" x14ac:dyDescent="0.3">
      <c r="A103" s="5" t="s">
        <v>2</v>
      </c>
      <c r="B103" s="7">
        <v>8694.9500000000007</v>
      </c>
      <c r="C103" s="9">
        <v>42978</v>
      </c>
      <c r="D103" s="5">
        <v>29.63</v>
      </c>
      <c r="E103" s="6">
        <v>3.32</v>
      </c>
      <c r="F103" s="7">
        <v>0.89</v>
      </c>
      <c r="G103" s="6">
        <v>12707.41</v>
      </c>
      <c r="H103" s="6">
        <f t="shared" si="1"/>
        <v>293.45089436382051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4"/>
      <c r="V103" s="13"/>
      <c r="W103" s="13"/>
    </row>
    <row r="104" spans="1:23" x14ac:dyDescent="0.3">
      <c r="A104" s="2" t="s">
        <v>2</v>
      </c>
      <c r="B104" s="4">
        <v>8793.2999999999993</v>
      </c>
      <c r="C104" s="8">
        <v>42947</v>
      </c>
      <c r="D104" s="2">
        <v>29.33</v>
      </c>
      <c r="E104" s="3">
        <v>3.35</v>
      </c>
      <c r="F104" s="4">
        <v>0.91</v>
      </c>
      <c r="G104" s="3">
        <v>12837.04</v>
      </c>
      <c r="H104" s="3">
        <f t="shared" si="1"/>
        <v>299.80565973406067</v>
      </c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4"/>
      <c r="V104" s="12"/>
      <c r="W104" s="12"/>
    </row>
    <row r="105" spans="1:23" x14ac:dyDescent="0.3">
      <c r="A105" s="5" t="s">
        <v>2</v>
      </c>
      <c r="B105" s="7">
        <v>8331.6</v>
      </c>
      <c r="C105" s="9">
        <v>42916</v>
      </c>
      <c r="D105" s="5">
        <v>27.72</v>
      </c>
      <c r="E105" s="6">
        <v>3.32</v>
      </c>
      <c r="F105" s="7">
        <v>1.04</v>
      </c>
      <c r="G105" s="6">
        <v>12132.6</v>
      </c>
      <c r="H105" s="6">
        <f t="shared" si="1"/>
        <v>300.5627705627706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4"/>
      <c r="V105" s="13"/>
      <c r="W105" s="13"/>
    </row>
    <row r="106" spans="1:23" x14ac:dyDescent="0.3">
      <c r="A106" s="2" t="s">
        <v>2</v>
      </c>
      <c r="B106" s="4">
        <v>8350.9500000000007</v>
      </c>
      <c r="C106" s="8">
        <v>42886</v>
      </c>
      <c r="D106" s="2">
        <v>27.92</v>
      </c>
      <c r="E106" s="3">
        <v>3.38</v>
      </c>
      <c r="F106" s="4">
        <v>1.1000000000000001</v>
      </c>
      <c r="G106" s="3">
        <v>12126.76</v>
      </c>
      <c r="H106" s="3">
        <f t="shared" si="1"/>
        <v>299.10279369627506</v>
      </c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4"/>
      <c r="V106" s="12"/>
      <c r="W106" s="12"/>
    </row>
    <row r="107" spans="1:23" x14ac:dyDescent="0.3">
      <c r="A107" s="5" t="s">
        <v>2</v>
      </c>
      <c r="B107" s="7">
        <v>8214.2999999999993</v>
      </c>
      <c r="C107" s="9">
        <v>42853</v>
      </c>
      <c r="D107" s="5">
        <v>27.59</v>
      </c>
      <c r="E107" s="6">
        <v>3.34</v>
      </c>
      <c r="F107" s="7">
        <v>1.1299999999999999</v>
      </c>
      <c r="G107" s="6">
        <v>11922.34</v>
      </c>
      <c r="H107" s="6">
        <f t="shared" si="1"/>
        <v>297.72743747734683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4"/>
      <c r="V107" s="13"/>
      <c r="W107" s="13"/>
    </row>
    <row r="108" spans="1:23" x14ac:dyDescent="0.3">
      <c r="A108" s="2" t="s">
        <v>2</v>
      </c>
      <c r="B108" s="4">
        <v>7995.05</v>
      </c>
      <c r="C108" s="8">
        <v>42825</v>
      </c>
      <c r="D108" s="2">
        <v>26.82</v>
      </c>
      <c r="E108" s="3">
        <v>3.25</v>
      </c>
      <c r="F108" s="4">
        <v>1.1599999999999999</v>
      </c>
      <c r="G108" s="3">
        <v>11598.65</v>
      </c>
      <c r="H108" s="3">
        <f t="shared" si="1"/>
        <v>298.10029828486205</v>
      </c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4"/>
      <c r="V108" s="12"/>
      <c r="W108" s="12"/>
    </row>
    <row r="109" spans="1:23" x14ac:dyDescent="0.3">
      <c r="A109" s="5" t="s">
        <v>2</v>
      </c>
      <c r="B109" s="7">
        <v>7709.1</v>
      </c>
      <c r="C109" s="9">
        <v>42794</v>
      </c>
      <c r="D109" s="5">
        <v>26.57</v>
      </c>
      <c r="E109" s="6">
        <v>3.11</v>
      </c>
      <c r="F109" s="7">
        <v>1.2</v>
      </c>
      <c r="G109" s="6">
        <v>11163.37</v>
      </c>
      <c r="H109" s="6">
        <f t="shared" si="1"/>
        <v>290.14301844185172</v>
      </c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4"/>
      <c r="V109" s="13"/>
      <c r="W109" s="13"/>
    </row>
    <row r="110" spans="1:23" x14ac:dyDescent="0.3">
      <c r="A110" s="2" t="s">
        <v>2</v>
      </c>
      <c r="B110" s="4">
        <v>7379.3</v>
      </c>
      <c r="C110" s="8">
        <v>42766</v>
      </c>
      <c r="D110" s="2">
        <v>26.57</v>
      </c>
      <c r="E110" s="3">
        <v>2.98</v>
      </c>
      <c r="F110" s="4">
        <v>1.24</v>
      </c>
      <c r="G110" s="3">
        <v>10670.2</v>
      </c>
      <c r="H110" s="3">
        <f t="shared" si="1"/>
        <v>277.73052314640574</v>
      </c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4"/>
      <c r="V110" s="12"/>
      <c r="W110" s="12"/>
    </row>
    <row r="111" spans="1:23" x14ac:dyDescent="0.3">
      <c r="A111" s="5" t="s">
        <v>2</v>
      </c>
      <c r="B111" s="7">
        <v>6982.8</v>
      </c>
      <c r="C111" s="9">
        <v>42734</v>
      </c>
      <c r="D111" s="5">
        <v>25.3</v>
      </c>
      <c r="E111" s="6">
        <v>2.82</v>
      </c>
      <c r="F111" s="7">
        <v>1.32</v>
      </c>
      <c r="G111" s="6">
        <v>10094.85</v>
      </c>
      <c r="H111" s="6">
        <f t="shared" si="1"/>
        <v>276</v>
      </c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4"/>
      <c r="V111" s="13"/>
      <c r="W111" s="13"/>
    </row>
    <row r="112" spans="1:23" x14ac:dyDescent="0.3">
      <c r="A112" s="2" t="s">
        <v>2</v>
      </c>
      <c r="B112" s="4">
        <v>7079.4</v>
      </c>
      <c r="C112" s="8">
        <v>42704</v>
      </c>
      <c r="D112" s="2">
        <v>25.09</v>
      </c>
      <c r="E112" s="3">
        <v>2.86</v>
      </c>
      <c r="F112" s="4">
        <v>1.29</v>
      </c>
      <c r="G112" s="3">
        <v>10234.36</v>
      </c>
      <c r="H112" s="3">
        <f t="shared" si="1"/>
        <v>282.16022319649261</v>
      </c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4"/>
      <c r="V112" s="12"/>
      <c r="W112" s="12"/>
    </row>
    <row r="113" spans="1:23" x14ac:dyDescent="0.3">
      <c r="A113" s="5" t="s">
        <v>2</v>
      </c>
      <c r="B113" s="7">
        <v>7501.45</v>
      </c>
      <c r="C113" s="9">
        <v>42673</v>
      </c>
      <c r="D113" s="5">
        <v>27.57</v>
      </c>
      <c r="E113" s="6">
        <v>3</v>
      </c>
      <c r="F113" s="7">
        <v>1.22</v>
      </c>
      <c r="G113" s="6">
        <v>10838.16</v>
      </c>
      <c r="H113" s="6">
        <f t="shared" si="1"/>
        <v>272.08741385564019</v>
      </c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4"/>
      <c r="V113" s="13"/>
      <c r="W113" s="13"/>
    </row>
    <row r="114" spans="1:23" x14ac:dyDescent="0.3">
      <c r="A114" s="2" t="s">
        <v>2</v>
      </c>
      <c r="B114" s="4">
        <v>7394.85</v>
      </c>
      <c r="C114" s="8">
        <v>42643</v>
      </c>
      <c r="D114" s="2">
        <v>27.49</v>
      </c>
      <c r="E114" s="3">
        <v>2.95</v>
      </c>
      <c r="F114" s="4">
        <v>1.24</v>
      </c>
      <c r="G114" s="3">
        <v>10677.17</v>
      </c>
      <c r="H114" s="3">
        <f t="shared" si="1"/>
        <v>269.00145507457262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4"/>
      <c r="V114" s="12"/>
      <c r="W114" s="12"/>
    </row>
    <row r="115" spans="1:23" x14ac:dyDescent="0.3">
      <c r="A115" s="5" t="s">
        <v>2</v>
      </c>
      <c r="B115" s="7">
        <v>7490.65</v>
      </c>
      <c r="C115" s="9">
        <v>42613</v>
      </c>
      <c r="D115" s="5">
        <v>28.23</v>
      </c>
      <c r="E115" s="6">
        <v>3.01</v>
      </c>
      <c r="F115" s="7">
        <v>1.19</v>
      </c>
      <c r="G115" s="6">
        <v>10806.58</v>
      </c>
      <c r="H115" s="6">
        <f t="shared" si="1"/>
        <v>265.34360609280907</v>
      </c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4"/>
      <c r="V115" s="13"/>
      <c r="W115" s="13"/>
    </row>
    <row r="116" spans="1:23" x14ac:dyDescent="0.3">
      <c r="A116" s="2" t="s">
        <v>2</v>
      </c>
      <c r="B116" s="4">
        <v>7330</v>
      </c>
      <c r="C116" s="8">
        <v>42580</v>
      </c>
      <c r="D116" s="2">
        <v>27.16</v>
      </c>
      <c r="E116" s="3">
        <v>3.01</v>
      </c>
      <c r="F116" s="4">
        <v>1.24</v>
      </c>
      <c r="G116" s="3">
        <v>10561.53</v>
      </c>
      <c r="H116" s="3">
        <f t="shared" si="1"/>
        <v>269.88217967599411</v>
      </c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4"/>
      <c r="V116" s="12"/>
      <c r="W116" s="12"/>
    </row>
    <row r="117" spans="1:23" x14ac:dyDescent="0.3">
      <c r="A117" s="5" t="s">
        <v>2</v>
      </c>
      <c r="B117" s="7">
        <v>6980.8</v>
      </c>
      <c r="C117" s="9">
        <v>42551</v>
      </c>
      <c r="D117" s="5">
        <v>25.89</v>
      </c>
      <c r="E117" s="6">
        <v>2.95</v>
      </c>
      <c r="F117" s="7">
        <v>1.26</v>
      </c>
      <c r="G117" s="6">
        <v>10038.73</v>
      </c>
      <c r="H117" s="6">
        <f t="shared" si="1"/>
        <v>269.6330629586713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4"/>
      <c r="V117" s="13"/>
      <c r="W117" s="13"/>
    </row>
    <row r="118" spans="1:23" x14ac:dyDescent="0.3">
      <c r="A118" s="2" t="s">
        <v>2</v>
      </c>
      <c r="B118" s="4">
        <v>6804</v>
      </c>
      <c r="C118" s="8">
        <v>42521</v>
      </c>
      <c r="D118" s="2">
        <v>24.97</v>
      </c>
      <c r="E118" s="3">
        <v>2.92</v>
      </c>
      <c r="F118" s="4">
        <v>1.34</v>
      </c>
      <c r="G118" s="3">
        <v>9757.09</v>
      </c>
      <c r="H118" s="3">
        <f t="shared" si="1"/>
        <v>272.48698438125751</v>
      </c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4"/>
      <c r="V118" s="12"/>
      <c r="W118" s="12"/>
    </row>
    <row r="119" spans="1:23" x14ac:dyDescent="0.3">
      <c r="A119" s="5" t="s">
        <v>2</v>
      </c>
      <c r="B119" s="7">
        <v>6588.55</v>
      </c>
      <c r="C119" s="9">
        <v>42489</v>
      </c>
      <c r="D119" s="5">
        <v>23.16</v>
      </c>
      <c r="E119" s="6">
        <v>2.83</v>
      </c>
      <c r="F119" s="7">
        <v>1.38</v>
      </c>
      <c r="G119" s="6">
        <v>9435.77</v>
      </c>
      <c r="H119" s="6">
        <f t="shared" si="1"/>
        <v>284.47970639032815</v>
      </c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4"/>
      <c r="V119" s="13"/>
      <c r="W119" s="13"/>
    </row>
    <row r="120" spans="1:23" x14ac:dyDescent="0.3">
      <c r="A120" s="2" t="s">
        <v>2</v>
      </c>
      <c r="B120" s="4">
        <v>6452.15</v>
      </c>
      <c r="C120" s="8">
        <v>42460</v>
      </c>
      <c r="D120" s="2">
        <v>22.81</v>
      </c>
      <c r="E120" s="3">
        <v>2.76</v>
      </c>
      <c r="F120" s="4">
        <v>1.46</v>
      </c>
      <c r="G120" s="3">
        <v>9239.92</v>
      </c>
      <c r="H120" s="3">
        <f t="shared" si="1"/>
        <v>282.86497150372645</v>
      </c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4"/>
      <c r="V120" s="12"/>
      <c r="W120" s="12"/>
    </row>
    <row r="121" spans="1:23" x14ac:dyDescent="0.3">
      <c r="A121" s="5" t="s">
        <v>2</v>
      </c>
      <c r="B121" s="7">
        <v>5829.95</v>
      </c>
      <c r="C121" s="9">
        <v>42429</v>
      </c>
      <c r="D121" s="5">
        <v>20.64</v>
      </c>
      <c r="E121" s="6">
        <v>2.4900000000000002</v>
      </c>
      <c r="F121" s="7">
        <v>1.62</v>
      </c>
      <c r="G121" s="6">
        <v>8332.74</v>
      </c>
      <c r="H121" s="6">
        <f t="shared" si="1"/>
        <v>282.45881782945736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4"/>
      <c r="V121" s="13"/>
      <c r="W121" s="13"/>
    </row>
    <row r="122" spans="1:23" x14ac:dyDescent="0.3">
      <c r="A122" s="2" t="s">
        <v>2</v>
      </c>
      <c r="B122" s="4">
        <v>6339.45</v>
      </c>
      <c r="C122" s="8">
        <v>42398</v>
      </c>
      <c r="D122" s="2">
        <v>22.08</v>
      </c>
      <c r="E122" s="3">
        <v>2.71</v>
      </c>
      <c r="F122" s="4">
        <v>1.49</v>
      </c>
      <c r="G122" s="3">
        <v>9054.56</v>
      </c>
      <c r="H122" s="3">
        <f t="shared" si="1"/>
        <v>287.11277173913044</v>
      </c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4"/>
      <c r="V122" s="12"/>
      <c r="W122" s="12"/>
    </row>
    <row r="123" spans="1:23" x14ac:dyDescent="0.3">
      <c r="A123" s="5" t="s">
        <v>2</v>
      </c>
      <c r="B123" s="7">
        <v>6724.75</v>
      </c>
      <c r="C123" s="9">
        <v>42369</v>
      </c>
      <c r="D123" s="5">
        <v>23.6</v>
      </c>
      <c r="E123" s="6">
        <v>2.87</v>
      </c>
      <c r="F123" s="7">
        <v>1.4</v>
      </c>
      <c r="G123" s="6">
        <v>9602.7800000000007</v>
      </c>
      <c r="H123" s="6">
        <f t="shared" si="1"/>
        <v>284.94703389830505</v>
      </c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4"/>
      <c r="V123" s="13"/>
      <c r="W123" s="13"/>
    </row>
    <row r="124" spans="1:23" x14ac:dyDescent="0.3">
      <c r="A124" s="2" t="s">
        <v>2</v>
      </c>
      <c r="B124" s="4">
        <v>6686.1</v>
      </c>
      <c r="C124" s="8">
        <v>42338</v>
      </c>
      <c r="D124" s="2">
        <v>23.4</v>
      </c>
      <c r="E124" s="3">
        <v>2.86</v>
      </c>
      <c r="F124" s="4">
        <v>1.4</v>
      </c>
      <c r="G124" s="3">
        <v>9546.85</v>
      </c>
      <c r="H124" s="3">
        <f t="shared" si="1"/>
        <v>285.73076923076928</v>
      </c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4"/>
      <c r="V124" s="12"/>
      <c r="W124" s="12"/>
    </row>
    <row r="125" spans="1:23" x14ac:dyDescent="0.3">
      <c r="A125" s="5" t="s">
        <v>2</v>
      </c>
      <c r="B125" s="7">
        <v>6750.95</v>
      </c>
      <c r="C125" s="9">
        <v>42307</v>
      </c>
      <c r="D125" s="5">
        <v>23.67</v>
      </c>
      <c r="E125" s="6">
        <v>2.88</v>
      </c>
      <c r="F125" s="7">
        <v>1.39</v>
      </c>
      <c r="G125" s="6">
        <v>9636.67</v>
      </c>
      <c r="H125" s="6">
        <f t="shared" si="1"/>
        <v>285.21123785382338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4"/>
      <c r="V125" s="13"/>
      <c r="W125" s="13"/>
    </row>
    <row r="126" spans="1:23" x14ac:dyDescent="0.3">
      <c r="A126" s="2" t="s">
        <v>2</v>
      </c>
      <c r="B126" s="4">
        <v>6646.1</v>
      </c>
      <c r="C126" s="8">
        <v>42277</v>
      </c>
      <c r="D126" s="2">
        <v>23.69</v>
      </c>
      <c r="E126" s="3">
        <v>2.87</v>
      </c>
      <c r="F126" s="4">
        <v>1.38</v>
      </c>
      <c r="G126" s="3">
        <v>9480.5499999999993</v>
      </c>
      <c r="H126" s="3">
        <f t="shared" si="1"/>
        <v>280.54453355846351</v>
      </c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4"/>
      <c r="V126" s="12"/>
      <c r="W126" s="12"/>
    </row>
    <row r="127" spans="1:23" x14ac:dyDescent="0.3">
      <c r="A127" s="5" t="s">
        <v>2</v>
      </c>
      <c r="B127" s="7">
        <v>6669.35</v>
      </c>
      <c r="C127" s="9">
        <v>42247</v>
      </c>
      <c r="D127" s="5">
        <v>24.12</v>
      </c>
      <c r="E127" s="6">
        <v>2.88</v>
      </c>
      <c r="F127" s="7">
        <v>1.37</v>
      </c>
      <c r="G127" s="6">
        <v>9505.16</v>
      </c>
      <c r="H127" s="6">
        <f t="shared" si="1"/>
        <v>276.50704809286901</v>
      </c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4"/>
      <c r="V127" s="13"/>
      <c r="W127" s="13"/>
    </row>
    <row r="128" spans="1:23" x14ac:dyDescent="0.3">
      <c r="A128" s="2" t="s">
        <v>2</v>
      </c>
      <c r="B128" s="4">
        <v>7106.2</v>
      </c>
      <c r="C128" s="8">
        <v>42216</v>
      </c>
      <c r="D128" s="2">
        <v>25.23</v>
      </c>
      <c r="E128" s="3">
        <v>3.12</v>
      </c>
      <c r="F128" s="4">
        <v>1.31</v>
      </c>
      <c r="G128" s="3">
        <v>10120.91</v>
      </c>
      <c r="H128" s="3">
        <f t="shared" si="1"/>
        <v>281.65675782798257</v>
      </c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4"/>
      <c r="V128" s="12"/>
      <c r="W128" s="12"/>
    </row>
    <row r="129" spans="1:23" x14ac:dyDescent="0.3">
      <c r="A129" s="5" t="s">
        <v>2</v>
      </c>
      <c r="B129" s="7">
        <v>6897.2</v>
      </c>
      <c r="C129" s="9">
        <v>42185</v>
      </c>
      <c r="D129" s="5">
        <v>24.65</v>
      </c>
      <c r="E129" s="6">
        <v>3.09</v>
      </c>
      <c r="F129" s="7">
        <v>1.38</v>
      </c>
      <c r="G129" s="6">
        <v>9802.5400000000009</v>
      </c>
      <c r="H129" s="6">
        <f t="shared" si="1"/>
        <v>279.80527383367144</v>
      </c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4"/>
      <c r="V129" s="13"/>
      <c r="W129" s="13"/>
    </row>
    <row r="130" spans="1:23" x14ac:dyDescent="0.3">
      <c r="A130" s="2" t="s">
        <v>2</v>
      </c>
      <c r="B130" s="4">
        <v>6959.85</v>
      </c>
      <c r="C130" s="8">
        <v>42153</v>
      </c>
      <c r="D130" s="2">
        <v>24.42</v>
      </c>
      <c r="E130" s="3">
        <v>3.21</v>
      </c>
      <c r="F130" s="4">
        <v>1.35</v>
      </c>
      <c r="G130" s="3">
        <v>9868.59</v>
      </c>
      <c r="H130" s="3">
        <f t="shared" ref="H130:H193" si="2">B130/D130</f>
        <v>285.00614250614251</v>
      </c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4"/>
      <c r="V130" s="12"/>
      <c r="W130" s="12"/>
    </row>
    <row r="131" spans="1:23" x14ac:dyDescent="0.3">
      <c r="A131" s="5" t="s">
        <v>2</v>
      </c>
      <c r="B131" s="7">
        <v>6749.65</v>
      </c>
      <c r="C131" s="9">
        <v>42124</v>
      </c>
      <c r="D131" s="5">
        <v>23.62</v>
      </c>
      <c r="E131" s="6">
        <v>3.11</v>
      </c>
      <c r="F131" s="7">
        <v>1.39</v>
      </c>
      <c r="G131" s="6">
        <v>9564.36</v>
      </c>
      <c r="H131" s="6">
        <f t="shared" si="2"/>
        <v>285.7599491955969</v>
      </c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4"/>
      <c r="V131" s="13"/>
      <c r="W131" s="13"/>
    </row>
    <row r="132" spans="1:23" x14ac:dyDescent="0.3">
      <c r="A132" s="2" t="s">
        <v>2</v>
      </c>
      <c r="B132" s="4">
        <v>6978.15</v>
      </c>
      <c r="C132" s="8">
        <v>42094</v>
      </c>
      <c r="D132" s="2">
        <v>24.3</v>
      </c>
      <c r="E132" s="3">
        <v>3.21</v>
      </c>
      <c r="F132" s="4">
        <v>1.27</v>
      </c>
      <c r="G132" s="3">
        <v>9887.5</v>
      </c>
      <c r="H132" s="3">
        <f t="shared" si="2"/>
        <v>287.16666666666663</v>
      </c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4"/>
      <c r="V132" s="12"/>
      <c r="W132" s="12"/>
    </row>
    <row r="133" spans="1:23" x14ac:dyDescent="0.3">
      <c r="A133" s="5" t="s">
        <v>2</v>
      </c>
      <c r="B133" s="7">
        <v>7239.45</v>
      </c>
      <c r="C133" s="9">
        <v>42063</v>
      </c>
      <c r="D133" s="5">
        <v>24.92</v>
      </c>
      <c r="E133" s="6">
        <v>3.31</v>
      </c>
      <c r="F133" s="7">
        <v>1.23</v>
      </c>
      <c r="G133" s="6">
        <v>10244.870000000001</v>
      </c>
      <c r="H133" s="6">
        <f t="shared" si="2"/>
        <v>290.5076243980738</v>
      </c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4"/>
      <c r="V133" s="13"/>
      <c r="W133" s="13"/>
    </row>
    <row r="134" spans="1:23" x14ac:dyDescent="0.3">
      <c r="A134" s="2" t="s">
        <v>2</v>
      </c>
      <c r="B134" s="4">
        <v>7166.7</v>
      </c>
      <c r="C134" s="8">
        <v>42034</v>
      </c>
      <c r="D134" s="2">
        <v>23.16</v>
      </c>
      <c r="E134" s="3">
        <v>3.26</v>
      </c>
      <c r="F134" s="4">
        <v>1.21</v>
      </c>
      <c r="G134" s="3">
        <v>10138.98</v>
      </c>
      <c r="H134" s="3">
        <f t="shared" si="2"/>
        <v>309.44300518134713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4"/>
      <c r="V134" s="12"/>
      <c r="W134" s="12"/>
    </row>
    <row r="135" spans="1:23" x14ac:dyDescent="0.3">
      <c r="A135" s="5" t="s">
        <v>2</v>
      </c>
      <c r="B135" s="7">
        <v>6773.65</v>
      </c>
      <c r="C135" s="9">
        <v>42004</v>
      </c>
      <c r="D135" s="5">
        <v>21.96</v>
      </c>
      <c r="E135" s="6">
        <v>3.08</v>
      </c>
      <c r="F135" s="7">
        <v>1.28</v>
      </c>
      <c r="G135" s="6">
        <v>9581.35</v>
      </c>
      <c r="H135" s="6">
        <f t="shared" si="2"/>
        <v>308.45400728597446</v>
      </c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4"/>
      <c r="V135" s="13"/>
      <c r="W135" s="13"/>
    </row>
    <row r="136" spans="1:23" x14ac:dyDescent="0.3">
      <c r="A136" s="2" t="s">
        <v>2</v>
      </c>
      <c r="B136" s="4">
        <v>6918.05</v>
      </c>
      <c r="C136" s="8">
        <v>41971</v>
      </c>
      <c r="D136" s="2">
        <v>22.34</v>
      </c>
      <c r="E136" s="3">
        <v>3.15</v>
      </c>
      <c r="F136" s="4">
        <v>1.25</v>
      </c>
      <c r="G136" s="3">
        <v>9783.89</v>
      </c>
      <c r="H136" s="3">
        <f t="shared" si="2"/>
        <v>309.670993733214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4"/>
      <c r="V136" s="12"/>
      <c r="W136" s="12"/>
    </row>
    <row r="137" spans="1:23" x14ac:dyDescent="0.3">
      <c r="A137" s="5" t="s">
        <v>2</v>
      </c>
      <c r="B137" s="7">
        <v>6685.75</v>
      </c>
      <c r="C137" s="9">
        <v>41943</v>
      </c>
      <c r="D137" s="5">
        <v>22</v>
      </c>
      <c r="E137" s="6">
        <v>3.05</v>
      </c>
      <c r="F137" s="7">
        <v>1.29</v>
      </c>
      <c r="G137" s="6">
        <v>9454.02</v>
      </c>
      <c r="H137" s="6">
        <f t="shared" si="2"/>
        <v>303.89772727272725</v>
      </c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4"/>
      <c r="V137" s="13"/>
      <c r="W137" s="13"/>
    </row>
    <row r="138" spans="1:23" x14ac:dyDescent="0.3">
      <c r="A138" s="2" t="s">
        <v>2</v>
      </c>
      <c r="B138" s="4">
        <v>6415.7</v>
      </c>
      <c r="C138" s="8">
        <v>41912</v>
      </c>
      <c r="D138" s="2">
        <v>21.37</v>
      </c>
      <c r="E138" s="3">
        <v>2.98</v>
      </c>
      <c r="F138" s="4">
        <v>1.26</v>
      </c>
      <c r="G138" s="3">
        <v>9067.9500000000007</v>
      </c>
      <c r="H138" s="3">
        <f t="shared" si="2"/>
        <v>300.2199344875994</v>
      </c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4"/>
      <c r="V138" s="12"/>
      <c r="W138" s="12"/>
    </row>
    <row r="139" spans="1:23" x14ac:dyDescent="0.3">
      <c r="A139" s="5" t="s">
        <v>2</v>
      </c>
      <c r="B139" s="7">
        <v>6360.75</v>
      </c>
      <c r="C139" s="9">
        <v>41879</v>
      </c>
      <c r="D139" s="5">
        <v>21.34</v>
      </c>
      <c r="E139" s="6">
        <v>2.98</v>
      </c>
      <c r="F139" s="7">
        <v>1.24</v>
      </c>
      <c r="G139" s="6">
        <v>8984.16</v>
      </c>
      <c r="H139" s="6">
        <f t="shared" si="2"/>
        <v>298.06701030927837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4"/>
      <c r="V139" s="13"/>
      <c r="W139" s="13"/>
    </row>
    <row r="140" spans="1:23" x14ac:dyDescent="0.3">
      <c r="A140" s="2" t="s">
        <v>2</v>
      </c>
      <c r="B140" s="4">
        <v>6194.45</v>
      </c>
      <c r="C140" s="8">
        <v>41851</v>
      </c>
      <c r="D140" s="2">
        <v>21.47</v>
      </c>
      <c r="E140" s="3">
        <v>2.97</v>
      </c>
      <c r="F140" s="4">
        <v>1.26</v>
      </c>
      <c r="G140" s="3">
        <v>8739.5499999999993</v>
      </c>
      <c r="H140" s="3">
        <f t="shared" si="2"/>
        <v>288.5165346995808</v>
      </c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4"/>
      <c r="V140" s="12"/>
      <c r="W140" s="12"/>
    </row>
    <row r="141" spans="1:23" x14ac:dyDescent="0.3">
      <c r="A141" s="5" t="s">
        <v>2</v>
      </c>
      <c r="B141" s="7">
        <v>6174.2</v>
      </c>
      <c r="C141" s="9">
        <v>41820</v>
      </c>
      <c r="D141" s="5">
        <v>21.74</v>
      </c>
      <c r="E141" s="6">
        <v>2.99</v>
      </c>
      <c r="F141" s="7">
        <v>1.25</v>
      </c>
      <c r="G141" s="6">
        <v>8687.0499999999993</v>
      </c>
      <c r="H141" s="6">
        <f t="shared" si="2"/>
        <v>284.00183992640297</v>
      </c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4"/>
      <c r="V141" s="13"/>
      <c r="W141" s="13"/>
    </row>
    <row r="142" spans="1:23" x14ac:dyDescent="0.3">
      <c r="A142" s="2" t="s">
        <v>2</v>
      </c>
      <c r="B142" s="4">
        <v>5802.85</v>
      </c>
      <c r="C142" s="8">
        <v>41789</v>
      </c>
      <c r="D142" s="2">
        <v>20.46</v>
      </c>
      <c r="E142" s="3">
        <v>2.9</v>
      </c>
      <c r="F142" s="4">
        <v>1.33</v>
      </c>
      <c r="G142" s="3">
        <v>8147</v>
      </c>
      <c r="H142" s="3">
        <f t="shared" si="2"/>
        <v>283.61925708699903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4"/>
      <c r="V142" s="12"/>
      <c r="W142" s="12"/>
    </row>
    <row r="143" spans="1:23" x14ac:dyDescent="0.3">
      <c r="A143" s="5" t="s">
        <v>2</v>
      </c>
      <c r="B143" s="7">
        <v>5255.65</v>
      </c>
      <c r="C143" s="9">
        <v>41759</v>
      </c>
      <c r="D143" s="5">
        <v>19.059999999999999</v>
      </c>
      <c r="E143" s="6">
        <v>2.65</v>
      </c>
      <c r="F143" s="7">
        <v>1.41</v>
      </c>
      <c r="G143" s="6">
        <v>7371.39</v>
      </c>
      <c r="H143" s="6">
        <f t="shared" si="2"/>
        <v>275.74239244491082</v>
      </c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4"/>
      <c r="V143" s="13"/>
      <c r="W143" s="13"/>
    </row>
    <row r="144" spans="1:23" x14ac:dyDescent="0.3">
      <c r="A144" s="2" t="s">
        <v>2</v>
      </c>
      <c r="B144" s="4">
        <v>5224.8500000000004</v>
      </c>
      <c r="C144" s="8">
        <v>41729</v>
      </c>
      <c r="D144" s="2">
        <v>18.98</v>
      </c>
      <c r="E144" s="3">
        <v>2.63</v>
      </c>
      <c r="F144" s="4">
        <v>1.42</v>
      </c>
      <c r="G144" s="3">
        <v>7327.4</v>
      </c>
      <c r="H144" s="3">
        <f t="shared" si="2"/>
        <v>275.28187565858798</v>
      </c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4"/>
      <c r="V144" s="12"/>
      <c r="W144" s="12"/>
    </row>
    <row r="145" spans="1:23" x14ac:dyDescent="0.3">
      <c r="A145" s="5" t="s">
        <v>2</v>
      </c>
      <c r="B145" s="7">
        <v>4849.5</v>
      </c>
      <c r="C145" s="9">
        <v>41698</v>
      </c>
      <c r="D145" s="5">
        <v>17.93</v>
      </c>
      <c r="E145" s="6">
        <v>2.44</v>
      </c>
      <c r="F145" s="7">
        <v>1.52</v>
      </c>
      <c r="G145" s="6">
        <v>6795.74</v>
      </c>
      <c r="H145" s="6">
        <f t="shared" si="2"/>
        <v>270.46848856664809</v>
      </c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4"/>
      <c r="V145" s="13"/>
      <c r="W145" s="13"/>
    </row>
    <row r="146" spans="1:23" x14ac:dyDescent="0.3">
      <c r="A146" s="2" t="s">
        <v>2</v>
      </c>
      <c r="B146" s="4">
        <v>4709.1499999999996</v>
      </c>
      <c r="C146" s="8">
        <v>41670</v>
      </c>
      <c r="D146" s="2">
        <v>17.89</v>
      </c>
      <c r="E146" s="3">
        <v>2.37</v>
      </c>
      <c r="F146" s="4">
        <v>1.57</v>
      </c>
      <c r="G146" s="3">
        <v>6594.58</v>
      </c>
      <c r="H146" s="3">
        <f t="shared" si="2"/>
        <v>263.22806036892115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4"/>
      <c r="V146" s="12"/>
      <c r="W146" s="12"/>
    </row>
    <row r="147" spans="1:23" x14ac:dyDescent="0.3">
      <c r="A147" s="5" t="s">
        <v>2</v>
      </c>
      <c r="B147" s="7">
        <v>4914.8500000000004</v>
      </c>
      <c r="C147" s="9">
        <v>41639</v>
      </c>
      <c r="D147" s="5">
        <v>18.989999999999998</v>
      </c>
      <c r="E147" s="6">
        <v>2.4700000000000002</v>
      </c>
      <c r="F147" s="7">
        <v>1.5</v>
      </c>
      <c r="G147" s="6">
        <v>6878.29</v>
      </c>
      <c r="H147" s="6">
        <f t="shared" si="2"/>
        <v>258.812532912059</v>
      </c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4"/>
      <c r="V147" s="13"/>
      <c r="W147" s="13"/>
    </row>
    <row r="148" spans="1:23" x14ac:dyDescent="0.3">
      <c r="A148" s="2" t="s">
        <v>2</v>
      </c>
      <c r="B148" s="4">
        <v>4770.1000000000004</v>
      </c>
      <c r="C148" s="8">
        <v>41607</v>
      </c>
      <c r="D148" s="2">
        <v>18.420000000000002</v>
      </c>
      <c r="E148" s="3">
        <v>2.4</v>
      </c>
      <c r="F148" s="4">
        <v>1.55</v>
      </c>
      <c r="G148" s="3">
        <v>6673.85</v>
      </c>
      <c r="H148" s="3">
        <f t="shared" si="2"/>
        <v>258.96308360477741</v>
      </c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4"/>
      <c r="V148" s="12"/>
      <c r="W148" s="12"/>
    </row>
    <row r="149" spans="1:23" x14ac:dyDescent="0.3">
      <c r="A149" s="5" t="s">
        <v>2</v>
      </c>
      <c r="B149" s="7">
        <v>4804.8500000000004</v>
      </c>
      <c r="C149" s="9">
        <v>41578</v>
      </c>
      <c r="D149" s="5">
        <v>17.78</v>
      </c>
      <c r="E149" s="6">
        <v>2.4300000000000002</v>
      </c>
      <c r="F149" s="7">
        <v>1.51</v>
      </c>
      <c r="G149" s="6">
        <v>6720.89</v>
      </c>
      <c r="H149" s="6">
        <f t="shared" si="2"/>
        <v>270.23903262092239</v>
      </c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4"/>
      <c r="V149" s="13"/>
      <c r="W149" s="13"/>
    </row>
    <row r="150" spans="1:23" x14ac:dyDescent="0.3">
      <c r="A150" s="2" t="s">
        <v>2</v>
      </c>
      <c r="B150" s="4">
        <v>4392.05</v>
      </c>
      <c r="C150" s="8">
        <v>41547</v>
      </c>
      <c r="D150" s="2">
        <v>16.440000000000001</v>
      </c>
      <c r="E150" s="3">
        <v>2.2400000000000002</v>
      </c>
      <c r="F150" s="4">
        <v>1.62</v>
      </c>
      <c r="G150" s="3">
        <v>6139.75</v>
      </c>
      <c r="H150" s="3">
        <f t="shared" si="2"/>
        <v>267.15632603406323</v>
      </c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4"/>
      <c r="V150" s="12"/>
      <c r="W150" s="12"/>
    </row>
    <row r="151" spans="1:23" x14ac:dyDescent="0.3">
      <c r="A151" s="5" t="s">
        <v>2</v>
      </c>
      <c r="B151" s="7">
        <v>4175.8500000000004</v>
      </c>
      <c r="C151" s="9">
        <v>41516</v>
      </c>
      <c r="D151" s="5">
        <v>15.59</v>
      </c>
      <c r="E151" s="6">
        <v>2.21</v>
      </c>
      <c r="F151" s="7">
        <v>1.6</v>
      </c>
      <c r="G151" s="6">
        <v>5831.25</v>
      </c>
      <c r="H151" s="6">
        <f t="shared" si="2"/>
        <v>267.85439384220655</v>
      </c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4"/>
      <c r="V151" s="13"/>
      <c r="W151" s="13"/>
    </row>
    <row r="152" spans="1:23" x14ac:dyDescent="0.3">
      <c r="A152" s="2" t="s">
        <v>2</v>
      </c>
      <c r="B152" s="4">
        <v>4379.6499999999996</v>
      </c>
      <c r="C152" s="8">
        <v>41486</v>
      </c>
      <c r="D152" s="2">
        <v>16.8</v>
      </c>
      <c r="E152" s="3">
        <v>2.2999999999999998</v>
      </c>
      <c r="F152" s="4">
        <v>1.53</v>
      </c>
      <c r="G152" s="3">
        <v>6109.86</v>
      </c>
      <c r="H152" s="3">
        <f t="shared" si="2"/>
        <v>260.69345238095235</v>
      </c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4"/>
      <c r="V152" s="12"/>
      <c r="W152" s="12"/>
    </row>
    <row r="153" spans="1:23" x14ac:dyDescent="0.3">
      <c r="A153" s="5" t="s">
        <v>2</v>
      </c>
      <c r="B153" s="7">
        <v>4510.8999999999996</v>
      </c>
      <c r="C153" s="9">
        <v>41453</v>
      </c>
      <c r="D153" s="5">
        <v>17.52</v>
      </c>
      <c r="E153" s="6">
        <v>2.44</v>
      </c>
      <c r="F153" s="7">
        <v>1.48</v>
      </c>
      <c r="G153" s="6">
        <v>6277.73</v>
      </c>
      <c r="H153" s="6">
        <f t="shared" si="2"/>
        <v>257.47146118721457</v>
      </c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4"/>
      <c r="V153" s="13"/>
      <c r="W153" s="13"/>
    </row>
    <row r="154" spans="1:23" x14ac:dyDescent="0.3">
      <c r="A154" s="2" t="s">
        <v>2</v>
      </c>
      <c r="B154" s="4">
        <v>4681.45</v>
      </c>
      <c r="C154" s="8">
        <v>41425</v>
      </c>
      <c r="D154" s="2">
        <v>17.82</v>
      </c>
      <c r="E154" s="3">
        <v>2.57</v>
      </c>
      <c r="F154" s="4">
        <v>1.41</v>
      </c>
      <c r="G154" s="3">
        <v>6502.47</v>
      </c>
      <c r="H154" s="3">
        <f t="shared" si="2"/>
        <v>262.7076318742985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4"/>
      <c r="V154" s="12"/>
      <c r="W154" s="12"/>
    </row>
    <row r="155" spans="1:23" x14ac:dyDescent="0.3">
      <c r="A155" s="5" t="s">
        <v>2</v>
      </c>
      <c r="B155" s="7">
        <v>4641.75</v>
      </c>
      <c r="C155" s="9">
        <v>41394</v>
      </c>
      <c r="D155" s="5">
        <v>17.62</v>
      </c>
      <c r="E155" s="6">
        <v>2.57</v>
      </c>
      <c r="F155" s="7">
        <v>1.42</v>
      </c>
      <c r="G155" s="6">
        <v>6430.9</v>
      </c>
      <c r="H155" s="6">
        <f t="shared" si="2"/>
        <v>263.43643586833144</v>
      </c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4"/>
      <c r="V155" s="13"/>
      <c r="W155" s="13"/>
    </row>
    <row r="156" spans="1:23" x14ac:dyDescent="0.3">
      <c r="A156" s="2" t="s">
        <v>2</v>
      </c>
      <c r="B156" s="4">
        <v>4438.3500000000004</v>
      </c>
      <c r="C156" s="8">
        <v>41361</v>
      </c>
      <c r="D156" s="2">
        <v>17.09</v>
      </c>
      <c r="E156" s="3">
        <v>2.4500000000000002</v>
      </c>
      <c r="F156" s="4">
        <v>1.49</v>
      </c>
      <c r="G156" s="3">
        <v>6148.26</v>
      </c>
      <c r="H156" s="3">
        <f t="shared" si="2"/>
        <v>259.70450555880632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4"/>
      <c r="V156" s="12"/>
      <c r="W156" s="12"/>
    </row>
    <row r="157" spans="1:23" x14ac:dyDescent="0.3">
      <c r="A157" s="5" t="s">
        <v>2</v>
      </c>
      <c r="B157" s="7">
        <v>4477.5</v>
      </c>
      <c r="C157" s="9">
        <v>41333</v>
      </c>
      <c r="D157" s="5">
        <v>17.21</v>
      </c>
      <c r="E157" s="6">
        <v>2.4700000000000002</v>
      </c>
      <c r="F157" s="7">
        <v>1.47</v>
      </c>
      <c r="G157" s="6">
        <v>6198.24</v>
      </c>
      <c r="H157" s="6">
        <f t="shared" si="2"/>
        <v>260.16850668216154</v>
      </c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4"/>
      <c r="V157" s="13"/>
      <c r="W157" s="13"/>
    </row>
    <row r="158" spans="1:23" x14ac:dyDescent="0.3">
      <c r="A158" s="2" t="s">
        <v>2</v>
      </c>
      <c r="B158" s="4">
        <v>4795.3</v>
      </c>
      <c r="C158" s="8">
        <v>41305</v>
      </c>
      <c r="D158" s="2">
        <v>18.05</v>
      </c>
      <c r="E158" s="3">
        <v>2.65</v>
      </c>
      <c r="F158" s="4">
        <v>1.38</v>
      </c>
      <c r="G158" s="3">
        <v>6634.78</v>
      </c>
      <c r="H158" s="3">
        <f t="shared" si="2"/>
        <v>265.66759002770084</v>
      </c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4"/>
      <c r="V158" s="12"/>
      <c r="W158" s="12"/>
    </row>
    <row r="159" spans="1:23" x14ac:dyDescent="0.3">
      <c r="A159" s="5" t="s">
        <v>2</v>
      </c>
      <c r="B159" s="7">
        <v>4743.45</v>
      </c>
      <c r="C159" s="9">
        <v>41274</v>
      </c>
      <c r="D159" s="5">
        <v>18.43</v>
      </c>
      <c r="E159" s="6">
        <v>2.62</v>
      </c>
      <c r="F159" s="7">
        <v>1.39</v>
      </c>
      <c r="G159" s="6">
        <v>6561.87</v>
      </c>
      <c r="H159" s="6">
        <f t="shared" si="2"/>
        <v>257.37655995659253</v>
      </c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4"/>
      <c r="V159" s="13"/>
      <c r="W159" s="13"/>
    </row>
    <row r="160" spans="1:23" x14ac:dyDescent="0.3">
      <c r="A160" s="2" t="s">
        <v>2</v>
      </c>
      <c r="B160" s="4">
        <v>4675.25</v>
      </c>
      <c r="C160" s="8">
        <v>41243</v>
      </c>
      <c r="D160" s="2">
        <v>18.16</v>
      </c>
      <c r="E160" s="3">
        <v>2.57</v>
      </c>
      <c r="F160" s="4">
        <v>1.41</v>
      </c>
      <c r="G160" s="3">
        <v>6465.86</v>
      </c>
      <c r="H160" s="3">
        <f t="shared" si="2"/>
        <v>257.44768722466961</v>
      </c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4"/>
      <c r="V160" s="12"/>
      <c r="W160" s="12"/>
    </row>
    <row r="161" spans="1:23" x14ac:dyDescent="0.3">
      <c r="A161" s="5" t="s">
        <v>2</v>
      </c>
      <c r="B161" s="7">
        <v>4448.8500000000004</v>
      </c>
      <c r="C161" s="9">
        <v>41213</v>
      </c>
      <c r="D161" s="5">
        <v>18.489999999999998</v>
      </c>
      <c r="E161" s="6">
        <v>2.48</v>
      </c>
      <c r="F161" s="7">
        <v>1.47</v>
      </c>
      <c r="G161" s="6">
        <v>6148.86</v>
      </c>
      <c r="H161" s="6">
        <f t="shared" si="2"/>
        <v>240.60843699296922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4"/>
      <c r="V161" s="13"/>
      <c r="W161" s="13"/>
    </row>
    <row r="162" spans="1:23" x14ac:dyDescent="0.3">
      <c r="A162" s="2" t="s">
        <v>2</v>
      </c>
      <c r="B162" s="4">
        <v>4504.3500000000004</v>
      </c>
      <c r="C162" s="8">
        <v>41180</v>
      </c>
      <c r="D162" s="2">
        <v>19.3</v>
      </c>
      <c r="E162" s="3">
        <v>2.6</v>
      </c>
      <c r="F162" s="4">
        <v>1.46</v>
      </c>
      <c r="G162" s="3">
        <v>6223.06</v>
      </c>
      <c r="H162" s="3">
        <f t="shared" si="2"/>
        <v>233.38601036269432</v>
      </c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4"/>
      <c r="V162" s="12"/>
      <c r="W162" s="12"/>
    </row>
    <row r="163" spans="1:23" x14ac:dyDescent="0.3">
      <c r="A163" s="5" t="s">
        <v>2</v>
      </c>
      <c r="B163" s="7">
        <v>4129.8999999999996</v>
      </c>
      <c r="C163" s="9">
        <v>41152</v>
      </c>
      <c r="D163" s="5">
        <v>17.850000000000001</v>
      </c>
      <c r="E163" s="6">
        <v>2.37</v>
      </c>
      <c r="F163" s="7">
        <v>1.6</v>
      </c>
      <c r="G163" s="6">
        <v>5701.84</v>
      </c>
      <c r="H163" s="6">
        <f t="shared" si="2"/>
        <v>231.36694677871145</v>
      </c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4"/>
      <c r="V163" s="13"/>
      <c r="W163" s="13"/>
    </row>
    <row r="164" spans="1:23" x14ac:dyDescent="0.3">
      <c r="A164" s="2" t="s">
        <v>2</v>
      </c>
      <c r="B164" s="4">
        <v>4126.45</v>
      </c>
      <c r="C164" s="8">
        <v>41121</v>
      </c>
      <c r="D164" s="2">
        <v>16.940000000000001</v>
      </c>
      <c r="E164" s="3">
        <v>2.4300000000000002</v>
      </c>
      <c r="F164" s="4">
        <v>1.57</v>
      </c>
      <c r="G164" s="3">
        <v>5689.6</v>
      </c>
      <c r="H164" s="3">
        <f t="shared" si="2"/>
        <v>243.59208972845335</v>
      </c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4"/>
      <c r="V164" s="12"/>
      <c r="W164" s="12"/>
    </row>
    <row r="165" spans="1:23" x14ac:dyDescent="0.3">
      <c r="A165" s="5" t="s">
        <v>2</v>
      </c>
      <c r="B165" s="7">
        <v>4170.6499999999996</v>
      </c>
      <c r="C165" s="9">
        <v>41089</v>
      </c>
      <c r="D165" s="5">
        <v>17.41</v>
      </c>
      <c r="E165" s="6">
        <v>2.48</v>
      </c>
      <c r="F165" s="7">
        <v>1.54</v>
      </c>
      <c r="G165" s="6">
        <v>5738.04</v>
      </c>
      <c r="H165" s="6">
        <f t="shared" si="2"/>
        <v>239.5548535324526</v>
      </c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4"/>
      <c r="V165" s="13"/>
      <c r="W165" s="13"/>
    </row>
    <row r="166" spans="1:23" x14ac:dyDescent="0.3">
      <c r="A166" s="2" t="s">
        <v>2</v>
      </c>
      <c r="B166" s="4">
        <v>3913.05</v>
      </c>
      <c r="C166" s="8">
        <v>41060</v>
      </c>
      <c r="D166" s="2">
        <v>16.8</v>
      </c>
      <c r="E166" s="3">
        <v>2.37</v>
      </c>
      <c r="F166" s="4">
        <v>1.66</v>
      </c>
      <c r="G166" s="3">
        <v>5367.52</v>
      </c>
      <c r="H166" s="3">
        <f t="shared" si="2"/>
        <v>232.91964285714286</v>
      </c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4"/>
      <c r="V166" s="12"/>
      <c r="W166" s="12"/>
    </row>
    <row r="167" spans="1:23" x14ac:dyDescent="0.3">
      <c r="A167" s="5" t="s">
        <v>2</v>
      </c>
      <c r="B167" s="7">
        <v>4178.3500000000004</v>
      </c>
      <c r="C167" s="9">
        <v>41029</v>
      </c>
      <c r="D167" s="5">
        <v>18.010000000000002</v>
      </c>
      <c r="E167" s="6">
        <v>2.5299999999999998</v>
      </c>
      <c r="F167" s="7">
        <v>1.54</v>
      </c>
      <c r="G167" s="6">
        <v>5719.56</v>
      </c>
      <c r="H167" s="6">
        <f t="shared" si="2"/>
        <v>232.00166574125487</v>
      </c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4"/>
      <c r="V167" s="13"/>
      <c r="W167" s="13"/>
    </row>
    <row r="168" spans="1:23" x14ac:dyDescent="0.3">
      <c r="A168" s="2" t="s">
        <v>2</v>
      </c>
      <c r="B168" s="4">
        <v>4221.8</v>
      </c>
      <c r="C168" s="8">
        <v>40998</v>
      </c>
      <c r="D168" s="2">
        <v>18.34</v>
      </c>
      <c r="E168" s="3">
        <v>2.5499999999999998</v>
      </c>
      <c r="F168" s="4">
        <v>1.53</v>
      </c>
      <c r="G168" s="3">
        <v>5778.58</v>
      </c>
      <c r="H168" s="3">
        <f t="shared" si="2"/>
        <v>230.19629225736097</v>
      </c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4"/>
      <c r="V168" s="12"/>
      <c r="W168" s="12"/>
    </row>
    <row r="169" spans="1:23" x14ac:dyDescent="0.3">
      <c r="A169" s="5" t="s">
        <v>2</v>
      </c>
      <c r="B169" s="7">
        <v>4275.55</v>
      </c>
      <c r="C169" s="9">
        <v>40968</v>
      </c>
      <c r="D169" s="5">
        <v>18.59</v>
      </c>
      <c r="E169" s="6">
        <v>2.57</v>
      </c>
      <c r="F169" s="7">
        <v>1.51</v>
      </c>
      <c r="G169" s="6">
        <v>5848.67</v>
      </c>
      <c r="H169" s="6">
        <f t="shared" si="2"/>
        <v>229.9919311457773</v>
      </c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4"/>
      <c r="V169" s="13"/>
      <c r="W169" s="13"/>
    </row>
    <row r="170" spans="1:23" x14ac:dyDescent="0.3">
      <c r="A170" s="2" t="s">
        <v>2</v>
      </c>
      <c r="B170" s="4">
        <v>4082.85</v>
      </c>
      <c r="C170" s="8">
        <v>40939</v>
      </c>
      <c r="D170" s="2">
        <v>17.61</v>
      </c>
      <c r="E170" s="3">
        <v>2.48</v>
      </c>
      <c r="F170" s="4">
        <v>1.55</v>
      </c>
      <c r="G170" s="3">
        <v>5583.02</v>
      </c>
      <c r="H170" s="3">
        <f t="shared" si="2"/>
        <v>231.84838160136286</v>
      </c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4"/>
      <c r="V170" s="12"/>
      <c r="W170" s="12"/>
    </row>
    <row r="171" spans="1:23" x14ac:dyDescent="0.3">
      <c r="A171" s="5" t="s">
        <v>2</v>
      </c>
      <c r="B171" s="7">
        <v>3597.75</v>
      </c>
      <c r="C171" s="9">
        <v>40907</v>
      </c>
      <c r="D171" s="5">
        <v>15.62</v>
      </c>
      <c r="E171" s="6">
        <v>2.23</v>
      </c>
      <c r="F171" s="7">
        <v>1.7</v>
      </c>
      <c r="G171" s="6">
        <v>4916.08</v>
      </c>
      <c r="H171" s="6">
        <f t="shared" si="2"/>
        <v>230.32970550576186</v>
      </c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4"/>
      <c r="V171" s="13"/>
      <c r="W171" s="13"/>
    </row>
    <row r="172" spans="1:23" x14ac:dyDescent="0.3">
      <c r="A172" s="2" t="s">
        <v>2</v>
      </c>
      <c r="B172" s="4">
        <v>3811.25</v>
      </c>
      <c r="C172" s="8">
        <v>40877</v>
      </c>
      <c r="D172" s="2">
        <v>16.54</v>
      </c>
      <c r="E172" s="3">
        <v>2.36</v>
      </c>
      <c r="F172" s="4">
        <v>1.6</v>
      </c>
      <c r="G172" s="3">
        <v>5207.62</v>
      </c>
      <c r="H172" s="3">
        <f t="shared" si="2"/>
        <v>230.42623941958888</v>
      </c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4"/>
      <c r="V172" s="12"/>
      <c r="W172" s="12"/>
    </row>
    <row r="173" spans="1:23" x14ac:dyDescent="0.3">
      <c r="A173" s="5" t="s">
        <v>2</v>
      </c>
      <c r="B173" s="7">
        <v>4215.8999999999996</v>
      </c>
      <c r="C173" s="9">
        <v>40847</v>
      </c>
      <c r="D173" s="5">
        <v>17.260000000000002</v>
      </c>
      <c r="E173" s="6">
        <v>2.65</v>
      </c>
      <c r="F173" s="7">
        <v>1.45</v>
      </c>
      <c r="G173" s="6">
        <v>5758.67</v>
      </c>
      <c r="H173" s="6">
        <f t="shared" si="2"/>
        <v>244.2584009269988</v>
      </c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4"/>
      <c r="V173" s="13"/>
      <c r="W173" s="13"/>
    </row>
    <row r="174" spans="1:23" x14ac:dyDescent="0.3">
      <c r="A174" s="2" t="s">
        <v>2</v>
      </c>
      <c r="B174" s="4">
        <v>3978.35</v>
      </c>
      <c r="C174" s="8">
        <v>40816</v>
      </c>
      <c r="D174" s="2">
        <v>16.55</v>
      </c>
      <c r="E174" s="3">
        <v>2.5099999999999998</v>
      </c>
      <c r="F174" s="4">
        <v>1.53</v>
      </c>
      <c r="G174" s="3">
        <v>5431.79</v>
      </c>
      <c r="H174" s="3">
        <f t="shared" si="2"/>
        <v>240.38368580060421</v>
      </c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4"/>
      <c r="V174" s="12"/>
      <c r="W174" s="12"/>
    </row>
    <row r="175" spans="1:23" x14ac:dyDescent="0.3">
      <c r="A175" s="5" t="s">
        <v>2</v>
      </c>
      <c r="B175" s="7">
        <v>4038.35</v>
      </c>
      <c r="C175" s="9">
        <v>40785</v>
      </c>
      <c r="D175" s="5">
        <v>16.71</v>
      </c>
      <c r="E175" s="6">
        <v>2.54</v>
      </c>
      <c r="F175" s="7">
        <v>1.51</v>
      </c>
      <c r="G175" s="6">
        <v>5508.31</v>
      </c>
      <c r="H175" s="6">
        <f t="shared" si="2"/>
        <v>241.67265110712145</v>
      </c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4"/>
      <c r="V175" s="13"/>
      <c r="W175" s="13"/>
    </row>
    <row r="176" spans="1:23" x14ac:dyDescent="0.3">
      <c r="A176" s="2" t="s">
        <v>2</v>
      </c>
      <c r="B176" s="4">
        <v>4424.05</v>
      </c>
      <c r="C176" s="8">
        <v>40753</v>
      </c>
      <c r="D176" s="2">
        <v>18.29</v>
      </c>
      <c r="E176" s="3">
        <v>2.99</v>
      </c>
      <c r="F176" s="4">
        <v>1.28</v>
      </c>
      <c r="G176" s="3">
        <v>6026.92</v>
      </c>
      <c r="H176" s="3">
        <f t="shared" si="2"/>
        <v>241.88354291962824</v>
      </c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4"/>
      <c r="V176" s="12"/>
      <c r="W176" s="12"/>
    </row>
    <row r="177" spans="1:23" x14ac:dyDescent="0.3">
      <c r="A177" s="5" t="s">
        <v>2</v>
      </c>
      <c r="B177" s="7">
        <v>4522.95</v>
      </c>
      <c r="C177" s="9">
        <v>40724</v>
      </c>
      <c r="D177" s="5">
        <v>19.04</v>
      </c>
      <c r="E177" s="6">
        <v>3.05</v>
      </c>
      <c r="F177" s="7">
        <v>1.25</v>
      </c>
      <c r="G177" s="6">
        <v>6150.71</v>
      </c>
      <c r="H177" s="6">
        <f t="shared" si="2"/>
        <v>237.54989495798318</v>
      </c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4"/>
      <c r="V177" s="13"/>
      <c r="W177" s="13"/>
    </row>
    <row r="178" spans="1:23" x14ac:dyDescent="0.3">
      <c r="A178" s="2" t="s">
        <v>2</v>
      </c>
      <c r="B178" s="4">
        <v>4492.8999999999996</v>
      </c>
      <c r="C178" s="8">
        <v>40694</v>
      </c>
      <c r="D178" s="2">
        <v>18.93</v>
      </c>
      <c r="E178" s="3">
        <v>3.12</v>
      </c>
      <c r="F178" s="4">
        <v>1.2</v>
      </c>
      <c r="G178" s="3">
        <v>6090.88</v>
      </c>
      <c r="H178" s="3">
        <f t="shared" si="2"/>
        <v>237.34284204965661</v>
      </c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4"/>
      <c r="V178" s="12"/>
      <c r="W178" s="12"/>
    </row>
    <row r="179" spans="1:23" x14ac:dyDescent="0.3">
      <c r="A179" s="5" t="s">
        <v>2</v>
      </c>
      <c r="B179" s="7">
        <v>4615.3</v>
      </c>
      <c r="C179" s="9">
        <v>40662</v>
      </c>
      <c r="D179" s="5">
        <v>19.93</v>
      </c>
      <c r="E179" s="6">
        <v>3.25</v>
      </c>
      <c r="F179" s="7">
        <v>1.1000000000000001</v>
      </c>
      <c r="G179" s="6">
        <v>6250.38</v>
      </c>
      <c r="H179" s="6">
        <f t="shared" si="2"/>
        <v>231.5755143000502</v>
      </c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4"/>
      <c r="V179" s="13"/>
      <c r="W179" s="13"/>
    </row>
    <row r="180" spans="1:23" x14ac:dyDescent="0.3">
      <c r="A180" s="2" t="s">
        <v>2</v>
      </c>
      <c r="B180" s="4">
        <v>4626.45</v>
      </c>
      <c r="C180" s="8">
        <v>40633</v>
      </c>
      <c r="D180" s="2">
        <v>20.170000000000002</v>
      </c>
      <c r="E180" s="3">
        <v>3.22</v>
      </c>
      <c r="F180" s="4">
        <v>1.1100000000000001</v>
      </c>
      <c r="G180" s="3">
        <v>6264</v>
      </c>
      <c r="H180" s="3">
        <f t="shared" si="2"/>
        <v>229.37283093703516</v>
      </c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4"/>
      <c r="V180" s="12"/>
      <c r="W180" s="12"/>
    </row>
    <row r="181" spans="1:23" x14ac:dyDescent="0.3">
      <c r="A181" s="5" t="s">
        <v>2</v>
      </c>
      <c r="B181" s="7">
        <v>4247.1499999999996</v>
      </c>
      <c r="C181" s="9">
        <v>40602</v>
      </c>
      <c r="D181" s="5">
        <v>18.47</v>
      </c>
      <c r="E181" s="6">
        <v>2.94</v>
      </c>
      <c r="F181" s="7">
        <v>1.21</v>
      </c>
      <c r="G181" s="6">
        <v>5744.78</v>
      </c>
      <c r="H181" s="6">
        <f t="shared" si="2"/>
        <v>229.94856524093123</v>
      </c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4"/>
      <c r="V181" s="13"/>
      <c r="W181" s="13"/>
    </row>
    <row r="182" spans="1:23" x14ac:dyDescent="0.3">
      <c r="A182" s="2" t="s">
        <v>2</v>
      </c>
      <c r="B182" s="4">
        <v>4424.6000000000004</v>
      </c>
      <c r="C182" s="8">
        <v>40574</v>
      </c>
      <c r="D182" s="2">
        <v>19.22</v>
      </c>
      <c r="E182" s="3">
        <v>3.05</v>
      </c>
      <c r="F182" s="4">
        <v>1.1599999999999999</v>
      </c>
      <c r="G182" s="3">
        <v>5982.33</v>
      </c>
      <c r="H182" s="3">
        <f t="shared" si="2"/>
        <v>230.20811654526537</v>
      </c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4"/>
      <c r="V182" s="12"/>
      <c r="W182" s="12"/>
    </row>
    <row r="183" spans="1:23" x14ac:dyDescent="0.3">
      <c r="A183" s="5" t="s">
        <v>2</v>
      </c>
      <c r="B183" s="7">
        <v>4940.95</v>
      </c>
      <c r="C183" s="9">
        <v>40543</v>
      </c>
      <c r="D183" s="5">
        <v>22.24</v>
      </c>
      <c r="E183" s="6">
        <v>3.4</v>
      </c>
      <c r="F183" s="7">
        <v>1.04</v>
      </c>
      <c r="G183" s="6">
        <v>6679.12</v>
      </c>
      <c r="H183" s="6">
        <f t="shared" si="2"/>
        <v>222.16501798561151</v>
      </c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4"/>
      <c r="V183" s="13"/>
      <c r="W183" s="13"/>
    </row>
    <row r="184" spans="1:23" x14ac:dyDescent="0.3">
      <c r="A184" s="2" t="s">
        <v>2</v>
      </c>
      <c r="B184" s="4">
        <v>4781.3999999999996</v>
      </c>
      <c r="C184" s="8">
        <v>40512</v>
      </c>
      <c r="D184" s="2">
        <v>21.5</v>
      </c>
      <c r="E184" s="3">
        <v>3.29</v>
      </c>
      <c r="F184" s="4">
        <v>1.08</v>
      </c>
      <c r="G184" s="3">
        <v>6461.2</v>
      </c>
      <c r="H184" s="3">
        <f t="shared" si="2"/>
        <v>222.39069767441859</v>
      </c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4"/>
      <c r="V184" s="12"/>
      <c r="W184" s="12"/>
    </row>
    <row r="185" spans="1:23" x14ac:dyDescent="0.3">
      <c r="A185" s="5" t="s">
        <v>2</v>
      </c>
      <c r="B185" s="7">
        <v>4972.95</v>
      </c>
      <c r="C185" s="9">
        <v>40480</v>
      </c>
      <c r="D185" s="5">
        <v>22.99</v>
      </c>
      <c r="E185" s="6">
        <v>3.41</v>
      </c>
      <c r="F185" s="7">
        <v>1.04</v>
      </c>
      <c r="G185" s="6">
        <v>6718.49</v>
      </c>
      <c r="H185" s="6">
        <f t="shared" si="2"/>
        <v>216.30926489778165</v>
      </c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4"/>
      <c r="V185" s="13"/>
      <c r="W185" s="13"/>
    </row>
    <row r="186" spans="1:23" x14ac:dyDescent="0.3">
      <c r="A186" s="2" t="s">
        <v>2</v>
      </c>
      <c r="B186" s="4">
        <v>4925.1499999999996</v>
      </c>
      <c r="C186" s="8">
        <v>40451</v>
      </c>
      <c r="D186" s="2">
        <v>22.84</v>
      </c>
      <c r="E186" s="3">
        <v>3.44</v>
      </c>
      <c r="F186" s="4">
        <v>1.05</v>
      </c>
      <c r="G186" s="3">
        <v>6649.82</v>
      </c>
      <c r="H186" s="3">
        <f t="shared" si="2"/>
        <v>215.63704028021013</v>
      </c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4"/>
      <c r="V186" s="12"/>
      <c r="W186" s="12"/>
    </row>
    <row r="187" spans="1:23" x14ac:dyDescent="0.3">
      <c r="A187" s="5" t="s">
        <v>2</v>
      </c>
      <c r="B187" s="7">
        <v>4537.25</v>
      </c>
      <c r="C187" s="9">
        <v>40421</v>
      </c>
      <c r="D187" s="5">
        <v>20.93</v>
      </c>
      <c r="E187" s="6">
        <v>3.21</v>
      </c>
      <c r="F187" s="7">
        <v>1.1200000000000001</v>
      </c>
      <c r="G187" s="6">
        <v>6115.32</v>
      </c>
      <c r="H187" s="6">
        <f t="shared" si="2"/>
        <v>216.78213091256569</v>
      </c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4"/>
      <c r="V187" s="13"/>
      <c r="W187" s="13"/>
    </row>
    <row r="188" spans="1:23" x14ac:dyDescent="0.3">
      <c r="A188" s="2" t="s">
        <v>2</v>
      </c>
      <c r="B188" s="4">
        <v>4475.1499999999996</v>
      </c>
      <c r="C188" s="8">
        <v>40389</v>
      </c>
      <c r="D188" s="2">
        <v>19.920000000000002</v>
      </c>
      <c r="E188" s="3">
        <v>3.38</v>
      </c>
      <c r="F188" s="4">
        <v>1.02</v>
      </c>
      <c r="G188" s="3">
        <v>6027.16</v>
      </c>
      <c r="H188" s="3">
        <f t="shared" si="2"/>
        <v>224.65612449799193</v>
      </c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4"/>
      <c r="V188" s="12"/>
      <c r="W188" s="12"/>
    </row>
    <row r="189" spans="1:23" x14ac:dyDescent="0.3">
      <c r="A189" s="5" t="s">
        <v>2</v>
      </c>
      <c r="B189" s="7">
        <v>4420.7</v>
      </c>
      <c r="C189" s="9">
        <v>40359</v>
      </c>
      <c r="D189" s="5">
        <v>19.760000000000002</v>
      </c>
      <c r="E189" s="6">
        <v>3.37</v>
      </c>
      <c r="F189" s="7">
        <v>0.98</v>
      </c>
      <c r="G189" s="6">
        <v>5944.93</v>
      </c>
      <c r="H189" s="6">
        <f t="shared" si="2"/>
        <v>223.71963562753035</v>
      </c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4"/>
      <c r="V189" s="13"/>
      <c r="W189" s="13"/>
    </row>
    <row r="190" spans="1:23" x14ac:dyDescent="0.3">
      <c r="A190" s="2" t="s">
        <v>2</v>
      </c>
      <c r="B190" s="4">
        <v>4226.6000000000004</v>
      </c>
      <c r="C190" s="8">
        <v>40329</v>
      </c>
      <c r="D190" s="2">
        <v>18.97</v>
      </c>
      <c r="E190" s="3">
        <v>3.22</v>
      </c>
      <c r="F190" s="4">
        <v>1.02</v>
      </c>
      <c r="G190" s="3">
        <v>5670.98</v>
      </c>
      <c r="H190" s="3">
        <f t="shared" si="2"/>
        <v>222.80442804428048</v>
      </c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4"/>
      <c r="V190" s="12"/>
      <c r="W190" s="12"/>
    </row>
    <row r="191" spans="1:23" x14ac:dyDescent="0.3">
      <c r="A191" s="5" t="s">
        <v>2</v>
      </c>
      <c r="B191" s="7">
        <v>4368.1000000000004</v>
      </c>
      <c r="C191" s="9">
        <v>40298</v>
      </c>
      <c r="D191" s="5">
        <v>19.170000000000002</v>
      </c>
      <c r="E191" s="6">
        <v>3.31</v>
      </c>
      <c r="F191" s="7">
        <v>1</v>
      </c>
      <c r="G191" s="6">
        <v>5856.5</v>
      </c>
      <c r="H191" s="6">
        <f t="shared" si="2"/>
        <v>227.86124152321335</v>
      </c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4"/>
      <c r="V191" s="13"/>
      <c r="W191" s="13"/>
    </row>
    <row r="192" spans="1:23" x14ac:dyDescent="0.3">
      <c r="A192" s="2" t="s">
        <v>2</v>
      </c>
      <c r="B192" s="4">
        <v>4313.25</v>
      </c>
      <c r="C192" s="8">
        <v>40268</v>
      </c>
      <c r="D192" s="2">
        <v>19.41</v>
      </c>
      <c r="E192" s="3">
        <v>3.27</v>
      </c>
      <c r="F192" s="4">
        <v>1.01</v>
      </c>
      <c r="G192" s="3">
        <v>5781.09</v>
      </c>
      <c r="H192" s="3">
        <f t="shared" si="2"/>
        <v>222.21792890262751</v>
      </c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4"/>
      <c r="V192" s="12"/>
      <c r="W192" s="12"/>
    </row>
    <row r="193" spans="1:23" x14ac:dyDescent="0.3">
      <c r="A193" s="5" t="s">
        <v>2</v>
      </c>
      <c r="B193" s="7">
        <v>4127.55</v>
      </c>
      <c r="C193" s="9">
        <v>40235</v>
      </c>
      <c r="D193" s="5">
        <v>18.54</v>
      </c>
      <c r="E193" s="6">
        <v>3.12</v>
      </c>
      <c r="F193" s="7">
        <v>1.06</v>
      </c>
      <c r="G193" s="6">
        <v>5529.01</v>
      </c>
      <c r="H193" s="6">
        <f t="shared" si="2"/>
        <v>222.62944983818772</v>
      </c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4"/>
      <c r="V193" s="13"/>
      <c r="W193" s="13"/>
    </row>
    <row r="194" spans="1:23" x14ac:dyDescent="0.3">
      <c r="A194" s="2" t="s">
        <v>2</v>
      </c>
      <c r="B194" s="4">
        <v>4156.05</v>
      </c>
      <c r="C194" s="8">
        <v>40207</v>
      </c>
      <c r="D194" s="2">
        <v>18.670000000000002</v>
      </c>
      <c r="E194" s="3">
        <v>3.14</v>
      </c>
      <c r="F194" s="4">
        <v>1.05</v>
      </c>
      <c r="G194" s="3">
        <v>5563.86</v>
      </c>
      <c r="H194" s="3">
        <f t="shared" ref="H194:H257" si="3">B194/D194</f>
        <v>222.60578468130689</v>
      </c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4"/>
      <c r="V194" s="12"/>
      <c r="W194" s="12"/>
    </row>
    <row r="195" spans="1:23" x14ac:dyDescent="0.3">
      <c r="A195" s="5" t="s">
        <v>2</v>
      </c>
      <c r="B195" s="7">
        <v>4329.1000000000004</v>
      </c>
      <c r="C195" s="9">
        <v>40178</v>
      </c>
      <c r="D195" s="5">
        <v>20.78</v>
      </c>
      <c r="E195" s="6">
        <v>3.27</v>
      </c>
      <c r="F195" s="7">
        <v>1.01</v>
      </c>
      <c r="G195" s="6">
        <v>5794.34</v>
      </c>
      <c r="H195" s="6">
        <f t="shared" si="3"/>
        <v>208.330125120308</v>
      </c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4"/>
      <c r="V195" s="13"/>
      <c r="W195" s="13"/>
    </row>
    <row r="196" spans="1:23" x14ac:dyDescent="0.3">
      <c r="A196" s="2" t="s">
        <v>2</v>
      </c>
      <c r="B196" s="4">
        <v>4145.45</v>
      </c>
      <c r="C196" s="8">
        <v>40147</v>
      </c>
      <c r="D196" s="2">
        <v>19.88</v>
      </c>
      <c r="E196" s="3">
        <v>3.16</v>
      </c>
      <c r="F196" s="4">
        <v>1.06</v>
      </c>
      <c r="G196" s="3">
        <v>5544.82</v>
      </c>
      <c r="H196" s="3">
        <f t="shared" si="3"/>
        <v>208.52364185110665</v>
      </c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4"/>
      <c r="V196" s="12"/>
      <c r="W196" s="12"/>
    </row>
    <row r="197" spans="1:23" x14ac:dyDescent="0.3">
      <c r="A197" s="5" t="s">
        <v>2</v>
      </c>
      <c r="B197" s="7">
        <v>3853.15</v>
      </c>
      <c r="C197" s="9">
        <v>40116</v>
      </c>
      <c r="D197" s="5">
        <v>18.190000000000001</v>
      </c>
      <c r="E197" s="6">
        <v>3.03</v>
      </c>
      <c r="F197" s="7">
        <v>1.1499999999999999</v>
      </c>
      <c r="G197" s="6">
        <v>5152.97</v>
      </c>
      <c r="H197" s="6">
        <f t="shared" si="3"/>
        <v>211.82792743265529</v>
      </c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4"/>
      <c r="V197" s="13"/>
      <c r="W197" s="13"/>
    </row>
    <row r="198" spans="1:23" x14ac:dyDescent="0.3">
      <c r="A198" s="2" t="s">
        <v>2</v>
      </c>
      <c r="B198" s="4">
        <v>4118.6499999999996</v>
      </c>
      <c r="C198" s="8">
        <v>40086</v>
      </c>
      <c r="D198" s="2">
        <v>21.02</v>
      </c>
      <c r="E198" s="3">
        <v>3.24</v>
      </c>
      <c r="F198" s="4">
        <v>1.0900000000000001</v>
      </c>
      <c r="G198" s="3">
        <v>5505.04</v>
      </c>
      <c r="H198" s="3">
        <f t="shared" si="3"/>
        <v>195.93958135109418</v>
      </c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4"/>
      <c r="V198" s="12"/>
      <c r="W198" s="12"/>
    </row>
    <row r="199" spans="1:23" x14ac:dyDescent="0.3">
      <c r="A199" s="5" t="s">
        <v>2</v>
      </c>
      <c r="B199" s="7">
        <v>3840.25</v>
      </c>
      <c r="C199" s="9">
        <v>40056</v>
      </c>
      <c r="D199" s="5">
        <v>19.559999999999999</v>
      </c>
      <c r="E199" s="6">
        <v>3.19</v>
      </c>
      <c r="F199" s="7">
        <v>1.18</v>
      </c>
      <c r="G199" s="6">
        <v>5125.18</v>
      </c>
      <c r="H199" s="6">
        <f t="shared" si="3"/>
        <v>196.33179959100207</v>
      </c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4"/>
      <c r="V199" s="13"/>
      <c r="W199" s="13"/>
    </row>
    <row r="200" spans="1:23" x14ac:dyDescent="0.3">
      <c r="A200" s="2" t="s">
        <v>2</v>
      </c>
      <c r="B200" s="4">
        <v>3764.1</v>
      </c>
      <c r="C200" s="8">
        <v>40025</v>
      </c>
      <c r="D200" s="2">
        <v>19</v>
      </c>
      <c r="E200" s="3">
        <v>3.2</v>
      </c>
      <c r="F200" s="4">
        <v>1.22</v>
      </c>
      <c r="G200" s="3">
        <v>5017.07</v>
      </c>
      <c r="H200" s="3">
        <f t="shared" si="3"/>
        <v>198.11052631578946</v>
      </c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4"/>
      <c r="V200" s="12"/>
      <c r="W200" s="12"/>
    </row>
    <row r="201" spans="1:23" x14ac:dyDescent="0.3">
      <c r="A201" s="5" t="s">
        <v>2</v>
      </c>
      <c r="B201" s="7">
        <v>3469.7</v>
      </c>
      <c r="C201" s="9">
        <v>39994</v>
      </c>
      <c r="D201" s="5">
        <v>18.45</v>
      </c>
      <c r="E201" s="6">
        <v>3.04</v>
      </c>
      <c r="F201" s="7">
        <v>1.3</v>
      </c>
      <c r="G201" s="6">
        <v>4612.22</v>
      </c>
      <c r="H201" s="6">
        <f t="shared" si="3"/>
        <v>188.05962059620595</v>
      </c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4"/>
      <c r="V201" s="13"/>
      <c r="W201" s="13"/>
    </row>
    <row r="202" spans="1:23" x14ac:dyDescent="0.3">
      <c r="A202" s="2" t="s">
        <v>2</v>
      </c>
      <c r="B202" s="4">
        <v>3579.9</v>
      </c>
      <c r="C202" s="8">
        <v>39962</v>
      </c>
      <c r="D202" s="2">
        <v>19.73</v>
      </c>
      <c r="E202" s="3">
        <v>3.16</v>
      </c>
      <c r="F202" s="4">
        <v>1.25</v>
      </c>
      <c r="G202" s="3">
        <v>4748.5200000000004</v>
      </c>
      <c r="H202" s="3">
        <f t="shared" si="3"/>
        <v>181.44450076026357</v>
      </c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4"/>
      <c r="V202" s="12"/>
      <c r="W202" s="12"/>
    </row>
    <row r="203" spans="1:23" x14ac:dyDescent="0.3">
      <c r="A203" s="5" t="s">
        <v>2</v>
      </c>
      <c r="B203" s="7">
        <v>2662.95</v>
      </c>
      <c r="C203" s="9">
        <v>39932</v>
      </c>
      <c r="D203" s="5">
        <v>15.28</v>
      </c>
      <c r="E203" s="6">
        <v>2.37</v>
      </c>
      <c r="F203" s="7">
        <v>1.69</v>
      </c>
      <c r="G203" s="6">
        <v>3531.14</v>
      </c>
      <c r="H203" s="6">
        <f t="shared" si="3"/>
        <v>174.27683246073298</v>
      </c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4"/>
      <c r="V203" s="13"/>
      <c r="W203" s="13"/>
    </row>
    <row r="204" spans="1:23" x14ac:dyDescent="0.3">
      <c r="A204" s="2" t="s">
        <v>2</v>
      </c>
      <c r="B204" s="4">
        <v>2294.85</v>
      </c>
      <c r="C204" s="8">
        <v>39903</v>
      </c>
      <c r="D204" s="2">
        <v>13.13</v>
      </c>
      <c r="E204" s="3">
        <v>2.04</v>
      </c>
      <c r="F204" s="4">
        <v>1.98</v>
      </c>
      <c r="G204" s="3">
        <v>3042.29</v>
      </c>
      <c r="H204" s="3">
        <f t="shared" si="3"/>
        <v>174.77913175932977</v>
      </c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4"/>
      <c r="V204" s="12"/>
      <c r="W204" s="12"/>
    </row>
    <row r="205" spans="1:23" x14ac:dyDescent="0.3">
      <c r="A205" s="5" t="s">
        <v>2</v>
      </c>
      <c r="B205" s="7">
        <v>2112.85</v>
      </c>
      <c r="C205" s="9">
        <v>39871</v>
      </c>
      <c r="D205" s="5">
        <v>12.08</v>
      </c>
      <c r="E205" s="6">
        <v>1.88</v>
      </c>
      <c r="F205" s="7">
        <v>2.15</v>
      </c>
      <c r="G205" s="6">
        <v>2799.86</v>
      </c>
      <c r="H205" s="6">
        <f t="shared" si="3"/>
        <v>174.9048013245033</v>
      </c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4"/>
      <c r="V205" s="13"/>
      <c r="W205" s="13"/>
    </row>
    <row r="206" spans="1:23" x14ac:dyDescent="0.3">
      <c r="A206" s="2" t="s">
        <v>2</v>
      </c>
      <c r="B206" s="4">
        <v>2209.0500000000002</v>
      </c>
      <c r="C206" s="8">
        <v>39843</v>
      </c>
      <c r="D206" s="2">
        <v>12.15</v>
      </c>
      <c r="E206" s="3">
        <v>1.98</v>
      </c>
      <c r="F206" s="4">
        <v>2.06</v>
      </c>
      <c r="G206" s="3">
        <v>2924.48</v>
      </c>
      <c r="H206" s="3">
        <f t="shared" si="3"/>
        <v>181.81481481481484</v>
      </c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4"/>
      <c r="V206" s="12"/>
      <c r="W206" s="12"/>
    </row>
    <row r="207" spans="1:23" x14ac:dyDescent="0.3">
      <c r="A207" s="5" t="s">
        <v>2</v>
      </c>
      <c r="B207" s="7">
        <v>2295.75</v>
      </c>
      <c r="C207" s="9">
        <v>39813</v>
      </c>
      <c r="D207" s="5">
        <v>11.8</v>
      </c>
      <c r="E207" s="6">
        <v>2.06</v>
      </c>
      <c r="F207" s="7">
        <v>2.02</v>
      </c>
      <c r="G207" s="6">
        <v>3034.27</v>
      </c>
      <c r="H207" s="6">
        <f t="shared" si="3"/>
        <v>194.55508474576271</v>
      </c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4"/>
      <c r="V207" s="13"/>
      <c r="W207" s="13"/>
    </row>
    <row r="208" spans="1:23" x14ac:dyDescent="0.3">
      <c r="A208" s="2" t="s">
        <v>2</v>
      </c>
      <c r="B208" s="4">
        <v>2093.1</v>
      </c>
      <c r="C208" s="8">
        <v>39780</v>
      </c>
      <c r="D208" s="2">
        <v>10.73</v>
      </c>
      <c r="E208" s="3">
        <v>1.89</v>
      </c>
      <c r="F208" s="4">
        <v>2.21</v>
      </c>
      <c r="G208" s="3">
        <v>2762.29</v>
      </c>
      <c r="H208" s="3">
        <f t="shared" si="3"/>
        <v>195.06989748369057</v>
      </c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4"/>
      <c r="V208" s="12"/>
      <c r="W208" s="12"/>
    </row>
    <row r="209" spans="1:23" x14ac:dyDescent="0.3">
      <c r="A209" s="5" t="s">
        <v>2</v>
      </c>
      <c r="B209" s="7">
        <v>2225.6999999999998</v>
      </c>
      <c r="C209" s="9">
        <v>39752</v>
      </c>
      <c r="D209" s="5">
        <v>11.15</v>
      </c>
      <c r="E209" s="6">
        <v>2.02</v>
      </c>
      <c r="F209" s="7">
        <v>2.08</v>
      </c>
      <c r="G209" s="6">
        <v>2937.1</v>
      </c>
      <c r="H209" s="6">
        <f t="shared" si="3"/>
        <v>199.61434977578472</v>
      </c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4"/>
      <c r="V209" s="13"/>
      <c r="W209" s="13"/>
    </row>
    <row r="210" spans="1:23" x14ac:dyDescent="0.3">
      <c r="A210" s="2" t="s">
        <v>2</v>
      </c>
      <c r="B210" s="4">
        <v>3058.6</v>
      </c>
      <c r="C210" s="8">
        <v>39721</v>
      </c>
      <c r="D210" s="2">
        <v>14.51</v>
      </c>
      <c r="E210" s="3">
        <v>2.78</v>
      </c>
      <c r="F210" s="4">
        <v>1.52</v>
      </c>
      <c r="G210" s="3">
        <v>4033.31</v>
      </c>
      <c r="H210" s="3">
        <f t="shared" si="3"/>
        <v>210.79255685733978</v>
      </c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4"/>
      <c r="V210" s="12"/>
      <c r="W210" s="12"/>
    </row>
    <row r="211" spans="1:23" x14ac:dyDescent="0.3">
      <c r="A211" s="5" t="s">
        <v>2</v>
      </c>
      <c r="B211" s="7">
        <v>3489.05</v>
      </c>
      <c r="C211" s="9">
        <v>39689</v>
      </c>
      <c r="D211" s="5">
        <v>15.92</v>
      </c>
      <c r="E211" s="6">
        <v>3.27</v>
      </c>
      <c r="F211" s="7">
        <v>1.38</v>
      </c>
      <c r="G211" s="6">
        <v>4592.47</v>
      </c>
      <c r="H211" s="6">
        <f t="shared" si="3"/>
        <v>219.16143216080403</v>
      </c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4"/>
      <c r="V211" s="13"/>
      <c r="W211" s="13"/>
    </row>
    <row r="212" spans="1:23" x14ac:dyDescent="0.3">
      <c r="A212" s="2" t="s">
        <v>2</v>
      </c>
      <c r="B212" s="4">
        <v>3456.7</v>
      </c>
      <c r="C212" s="8">
        <v>39660</v>
      </c>
      <c r="D212" s="2">
        <v>15.69</v>
      </c>
      <c r="E212" s="3">
        <v>3.4</v>
      </c>
      <c r="F212" s="4">
        <v>1.37</v>
      </c>
      <c r="G212" s="3">
        <v>4542.09</v>
      </c>
      <c r="H212" s="3">
        <f t="shared" si="3"/>
        <v>220.31230082855322</v>
      </c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4"/>
      <c r="V212" s="12"/>
      <c r="W212" s="12"/>
    </row>
    <row r="213" spans="1:23" x14ac:dyDescent="0.3">
      <c r="A213" s="5" t="s">
        <v>2</v>
      </c>
      <c r="B213" s="7">
        <v>3203.35</v>
      </c>
      <c r="C213" s="9">
        <v>39629</v>
      </c>
      <c r="D213" s="5">
        <v>14.65</v>
      </c>
      <c r="E213" s="6">
        <v>3.4</v>
      </c>
      <c r="F213" s="7">
        <v>1.43</v>
      </c>
      <c r="G213" s="6">
        <v>4196.57</v>
      </c>
      <c r="H213" s="6">
        <f t="shared" si="3"/>
        <v>218.65870307167233</v>
      </c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4"/>
      <c r="V213" s="13"/>
      <c r="W213" s="13"/>
    </row>
    <row r="214" spans="1:23" x14ac:dyDescent="0.3">
      <c r="A214" s="2" t="s">
        <v>2</v>
      </c>
      <c r="B214" s="4">
        <v>3959.65</v>
      </c>
      <c r="C214" s="8">
        <v>39598</v>
      </c>
      <c r="D214" s="2">
        <v>18.09</v>
      </c>
      <c r="E214" s="3">
        <v>4.32</v>
      </c>
      <c r="F214" s="4">
        <v>1.1299999999999999</v>
      </c>
      <c r="G214" s="3">
        <v>5180.88</v>
      </c>
      <c r="H214" s="3">
        <f t="shared" si="3"/>
        <v>218.88612493090105</v>
      </c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4"/>
      <c r="V214" s="12"/>
      <c r="W214" s="12"/>
    </row>
    <row r="215" spans="1:23" x14ac:dyDescent="0.3">
      <c r="A215" s="5" t="s">
        <v>2</v>
      </c>
      <c r="B215" s="7">
        <v>4222.1000000000004</v>
      </c>
      <c r="C215" s="9">
        <v>39568</v>
      </c>
      <c r="D215" s="5">
        <v>19.41</v>
      </c>
      <c r="E215" s="6">
        <v>4.8099999999999996</v>
      </c>
      <c r="F215" s="7">
        <v>1.02</v>
      </c>
      <c r="G215" s="6">
        <v>5515.51</v>
      </c>
      <c r="H215" s="6">
        <f t="shared" si="3"/>
        <v>217.52189592993304</v>
      </c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4"/>
      <c r="V215" s="13"/>
      <c r="W215" s="13"/>
    </row>
    <row r="216" spans="1:23" x14ac:dyDescent="0.3">
      <c r="A216" s="2" t="s">
        <v>2</v>
      </c>
      <c r="B216" s="4">
        <v>3825.85</v>
      </c>
      <c r="C216" s="8">
        <v>39538</v>
      </c>
      <c r="D216" s="2">
        <v>17.86</v>
      </c>
      <c r="E216" s="3">
        <v>4.3099999999999996</v>
      </c>
      <c r="F216" s="4">
        <v>1.1399999999999999</v>
      </c>
      <c r="G216" s="3">
        <v>4996.1000000000004</v>
      </c>
      <c r="H216" s="3">
        <f t="shared" si="3"/>
        <v>214.21332586786113</v>
      </c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4"/>
      <c r="V216" s="12"/>
      <c r="W216" s="12"/>
    </row>
    <row r="217" spans="1:23" x14ac:dyDescent="0.3">
      <c r="A217" s="5" t="s">
        <v>2</v>
      </c>
      <c r="B217" s="7">
        <v>4360.7</v>
      </c>
      <c r="C217" s="9">
        <v>39507</v>
      </c>
      <c r="D217" s="5">
        <v>20.29</v>
      </c>
      <c r="E217" s="6">
        <v>5.05</v>
      </c>
      <c r="F217" s="7">
        <v>0.99</v>
      </c>
      <c r="G217" s="6">
        <v>5692.94</v>
      </c>
      <c r="H217" s="6">
        <f t="shared" si="3"/>
        <v>214.91867915229176</v>
      </c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4"/>
      <c r="V217" s="13"/>
      <c r="W217" s="13"/>
    </row>
    <row r="218" spans="1:23" x14ac:dyDescent="0.3">
      <c r="A218" s="2" t="s">
        <v>2</v>
      </c>
      <c r="B218" s="4">
        <v>4349</v>
      </c>
      <c r="C218" s="8">
        <v>39478</v>
      </c>
      <c r="D218" s="2">
        <v>20.190000000000001</v>
      </c>
      <c r="E218" s="3">
        <v>5.01</v>
      </c>
      <c r="F218" s="4">
        <v>1</v>
      </c>
      <c r="G218" s="3">
        <v>5671.45</v>
      </c>
      <c r="H218" s="3">
        <f t="shared" si="3"/>
        <v>215.40366518078255</v>
      </c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4"/>
      <c r="V218" s="12"/>
      <c r="W218" s="12"/>
    </row>
    <row r="219" spans="1:23" x14ac:dyDescent="0.3">
      <c r="A219" s="5" t="s">
        <v>2</v>
      </c>
      <c r="B219" s="7">
        <v>5354.7</v>
      </c>
      <c r="C219" s="9">
        <v>39447</v>
      </c>
      <c r="D219" s="5">
        <v>26.4</v>
      </c>
      <c r="E219" s="6">
        <v>6.16</v>
      </c>
      <c r="F219" s="7">
        <v>0.81</v>
      </c>
      <c r="G219" s="6">
        <v>6981.86</v>
      </c>
      <c r="H219" s="6">
        <f t="shared" si="3"/>
        <v>202.82954545454547</v>
      </c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4"/>
      <c r="V219" s="13"/>
      <c r="W219" s="13"/>
    </row>
    <row r="220" spans="1:23" x14ac:dyDescent="0.3">
      <c r="A220" s="2" t="s">
        <v>2</v>
      </c>
      <c r="B220" s="4">
        <v>4869.55</v>
      </c>
      <c r="C220" s="8">
        <v>39416</v>
      </c>
      <c r="D220" s="2">
        <v>23.42</v>
      </c>
      <c r="E220" s="3">
        <v>5.44</v>
      </c>
      <c r="F220" s="4">
        <v>0.91</v>
      </c>
      <c r="G220" s="3">
        <v>6344.24</v>
      </c>
      <c r="H220" s="3">
        <f t="shared" si="3"/>
        <v>207.92271562766865</v>
      </c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4"/>
      <c r="V220" s="12"/>
      <c r="W220" s="12"/>
    </row>
    <row r="221" spans="1:23" x14ac:dyDescent="0.3">
      <c r="A221" s="5" t="s">
        <v>2</v>
      </c>
      <c r="B221" s="7">
        <v>4806.8500000000004</v>
      </c>
      <c r="C221" s="9">
        <v>39386</v>
      </c>
      <c r="D221" s="5">
        <v>23.04</v>
      </c>
      <c r="E221" s="6">
        <v>5.35</v>
      </c>
      <c r="F221" s="7">
        <v>0.93</v>
      </c>
      <c r="G221" s="6">
        <v>6260.72</v>
      </c>
      <c r="H221" s="6">
        <f t="shared" si="3"/>
        <v>208.63064236111114</v>
      </c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4"/>
      <c r="V221" s="13"/>
      <c r="W221" s="13"/>
    </row>
    <row r="222" spans="1:23" x14ac:dyDescent="0.3">
      <c r="A222" s="2" t="s">
        <v>2</v>
      </c>
      <c r="B222" s="4">
        <v>4188.55</v>
      </c>
      <c r="C222" s="8">
        <v>39353</v>
      </c>
      <c r="D222" s="2">
        <v>20.99</v>
      </c>
      <c r="E222" s="3">
        <v>4.8</v>
      </c>
      <c r="F222" s="4">
        <v>1.06</v>
      </c>
      <c r="G222" s="3">
        <v>5453.48</v>
      </c>
      <c r="H222" s="3">
        <f t="shared" si="3"/>
        <v>199.5497856121963</v>
      </c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4"/>
      <c r="V222" s="12"/>
      <c r="W222" s="12"/>
    </row>
    <row r="223" spans="1:23" x14ac:dyDescent="0.3">
      <c r="A223" s="5" t="s">
        <v>2</v>
      </c>
      <c r="B223" s="7">
        <v>3711.55</v>
      </c>
      <c r="C223" s="9">
        <v>39325</v>
      </c>
      <c r="D223" s="5">
        <v>18.399999999999999</v>
      </c>
      <c r="E223" s="6">
        <v>4.3600000000000003</v>
      </c>
      <c r="F223" s="7">
        <v>1.1399999999999999</v>
      </c>
      <c r="G223" s="6">
        <v>4824.49</v>
      </c>
      <c r="H223" s="6">
        <f t="shared" si="3"/>
        <v>201.7146739130435</v>
      </c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4"/>
      <c r="V223" s="13"/>
      <c r="W223" s="13"/>
    </row>
    <row r="224" spans="1:23" x14ac:dyDescent="0.3">
      <c r="A224" s="2" t="s">
        <v>2</v>
      </c>
      <c r="B224" s="4">
        <v>3783.85</v>
      </c>
      <c r="C224" s="8">
        <v>39294</v>
      </c>
      <c r="D224" s="2">
        <v>18.72</v>
      </c>
      <c r="E224" s="3">
        <v>4.58</v>
      </c>
      <c r="F224" s="4">
        <v>1.1100000000000001</v>
      </c>
      <c r="G224" s="3">
        <v>4911.2</v>
      </c>
      <c r="H224" s="3">
        <f t="shared" si="3"/>
        <v>202.12873931623932</v>
      </c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4"/>
      <c r="V224" s="12"/>
      <c r="W224" s="12"/>
    </row>
    <row r="225" spans="1:23" x14ac:dyDescent="0.3">
      <c r="A225" s="5" t="s">
        <v>2</v>
      </c>
      <c r="B225" s="7">
        <v>3625.75</v>
      </c>
      <c r="C225" s="9">
        <v>39262</v>
      </c>
      <c r="D225" s="5">
        <v>18.93</v>
      </c>
      <c r="E225" s="6">
        <v>4.5199999999999996</v>
      </c>
      <c r="F225" s="7">
        <v>1.1499999999999999</v>
      </c>
      <c r="G225" s="6">
        <v>4700.21</v>
      </c>
      <c r="H225" s="6">
        <f t="shared" si="3"/>
        <v>191.53460116217644</v>
      </c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4"/>
      <c r="V225" s="13"/>
      <c r="W225" s="13"/>
    </row>
    <row r="226" spans="1:23" x14ac:dyDescent="0.3">
      <c r="A226" s="2" t="s">
        <v>2</v>
      </c>
      <c r="B226" s="4">
        <v>3563.65</v>
      </c>
      <c r="C226" s="8">
        <v>39233</v>
      </c>
      <c r="D226" s="2">
        <v>18.47</v>
      </c>
      <c r="E226" s="3">
        <v>4.62</v>
      </c>
      <c r="F226" s="4">
        <v>1.1399999999999999</v>
      </c>
      <c r="G226" s="3">
        <v>4609.83</v>
      </c>
      <c r="H226" s="3">
        <f t="shared" si="3"/>
        <v>192.9426096372496</v>
      </c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4"/>
      <c r="V226" s="12"/>
      <c r="W226" s="12"/>
    </row>
    <row r="227" spans="1:23" x14ac:dyDescent="0.3">
      <c r="A227" s="5" t="s">
        <v>2</v>
      </c>
      <c r="B227" s="7">
        <v>3379.1</v>
      </c>
      <c r="C227" s="9">
        <v>39202</v>
      </c>
      <c r="D227" s="5">
        <v>17.600000000000001</v>
      </c>
      <c r="E227" s="6">
        <v>4.38</v>
      </c>
      <c r="F227" s="7">
        <v>1.2</v>
      </c>
      <c r="G227" s="6">
        <v>4369.88</v>
      </c>
      <c r="H227" s="6">
        <f t="shared" si="3"/>
        <v>191.99431818181816</v>
      </c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4"/>
      <c r="V227" s="13"/>
      <c r="W227" s="13"/>
    </row>
    <row r="228" spans="1:23" x14ac:dyDescent="0.3">
      <c r="A228" s="2" t="s">
        <v>2</v>
      </c>
      <c r="B228" s="4">
        <v>3145.35</v>
      </c>
      <c r="C228" s="8">
        <v>39171</v>
      </c>
      <c r="D228" s="2">
        <v>17.11</v>
      </c>
      <c r="E228" s="3">
        <v>4.08</v>
      </c>
      <c r="F228" s="4">
        <v>1.28</v>
      </c>
      <c r="G228" s="3">
        <v>4065.63</v>
      </c>
      <c r="H228" s="3">
        <f t="shared" si="3"/>
        <v>183.83109292811221</v>
      </c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4"/>
      <c r="V228" s="12"/>
      <c r="W228" s="12"/>
    </row>
    <row r="229" spans="1:23" x14ac:dyDescent="0.3">
      <c r="A229" s="5" t="s">
        <v>2</v>
      </c>
      <c r="B229" s="7">
        <v>3107.75</v>
      </c>
      <c r="C229" s="9">
        <v>39141</v>
      </c>
      <c r="D229" s="5">
        <v>16.899999999999999</v>
      </c>
      <c r="E229" s="6">
        <v>4.03</v>
      </c>
      <c r="F229" s="7">
        <v>1.3</v>
      </c>
      <c r="G229" s="6">
        <v>4007.34</v>
      </c>
      <c r="H229" s="6">
        <f t="shared" si="3"/>
        <v>183.89053254437871</v>
      </c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4"/>
      <c r="V229" s="13"/>
      <c r="W229" s="13"/>
    </row>
    <row r="230" spans="1:23" x14ac:dyDescent="0.3">
      <c r="A230" s="2" t="s">
        <v>2</v>
      </c>
      <c r="B230" s="4">
        <v>3393.1</v>
      </c>
      <c r="C230" s="8">
        <v>39113</v>
      </c>
      <c r="D230" s="2">
        <v>18.63</v>
      </c>
      <c r="E230" s="3">
        <v>4.41</v>
      </c>
      <c r="F230" s="4">
        <v>1.19</v>
      </c>
      <c r="G230" s="3">
        <v>4369.84</v>
      </c>
      <c r="H230" s="3">
        <f t="shared" si="3"/>
        <v>182.13097155126141</v>
      </c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4"/>
      <c r="V230" s="12"/>
      <c r="W230" s="12"/>
    </row>
    <row r="231" spans="1:23" x14ac:dyDescent="0.3">
      <c r="A231" s="5" t="s">
        <v>2</v>
      </c>
      <c r="B231" s="7">
        <v>3295.05</v>
      </c>
      <c r="C231" s="9">
        <v>39080</v>
      </c>
      <c r="D231" s="5">
        <v>19.84</v>
      </c>
      <c r="E231" s="6">
        <v>4.2699999999999996</v>
      </c>
      <c r="F231" s="7">
        <v>1.23</v>
      </c>
      <c r="G231" s="6">
        <v>4242.18</v>
      </c>
      <c r="H231" s="6">
        <f t="shared" si="3"/>
        <v>166.08114919354838</v>
      </c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4"/>
      <c r="V231" s="13"/>
      <c r="W231" s="13"/>
    </row>
    <row r="232" spans="1:23" x14ac:dyDescent="0.3">
      <c r="A232" s="2" t="s">
        <v>2</v>
      </c>
      <c r="B232" s="4">
        <v>3280.45</v>
      </c>
      <c r="C232" s="8">
        <v>39051</v>
      </c>
      <c r="D232" s="2">
        <v>19.600000000000001</v>
      </c>
      <c r="E232" s="3">
        <v>4.24</v>
      </c>
      <c r="F232" s="4">
        <v>1.25</v>
      </c>
      <c r="G232" s="3">
        <v>4215.13</v>
      </c>
      <c r="H232" s="3">
        <f t="shared" si="3"/>
        <v>167.36989795918365</v>
      </c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4"/>
      <c r="V232" s="12"/>
      <c r="W232" s="12"/>
    </row>
    <row r="233" spans="1:23" x14ac:dyDescent="0.3">
      <c r="A233" s="5" t="s">
        <v>2</v>
      </c>
      <c r="B233" s="7">
        <v>3114.55</v>
      </c>
      <c r="C233" s="9">
        <v>39021</v>
      </c>
      <c r="D233" s="5">
        <v>18.84</v>
      </c>
      <c r="E233" s="6">
        <v>4.05</v>
      </c>
      <c r="F233" s="7">
        <v>1.33</v>
      </c>
      <c r="G233" s="6">
        <v>4000.73</v>
      </c>
      <c r="H233" s="6">
        <f t="shared" si="3"/>
        <v>165.31581740976645</v>
      </c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4"/>
      <c r="V233" s="13"/>
      <c r="W233" s="13"/>
    </row>
    <row r="234" spans="1:23" x14ac:dyDescent="0.3">
      <c r="A234" s="2" t="s">
        <v>2</v>
      </c>
      <c r="B234" s="4">
        <v>2988.25</v>
      </c>
      <c r="C234" s="8">
        <v>38989</v>
      </c>
      <c r="D234" s="2">
        <v>19.59</v>
      </c>
      <c r="E234" s="3">
        <v>4</v>
      </c>
      <c r="F234" s="4">
        <v>1.35</v>
      </c>
      <c r="G234" s="3">
        <v>3837.28</v>
      </c>
      <c r="H234" s="3">
        <f t="shared" si="3"/>
        <v>152.53956100051047</v>
      </c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4"/>
      <c r="V234" s="12"/>
      <c r="W234" s="12"/>
    </row>
    <row r="235" spans="1:23" x14ac:dyDescent="0.3">
      <c r="A235" s="5" t="s">
        <v>2</v>
      </c>
      <c r="B235" s="7">
        <v>2807.95</v>
      </c>
      <c r="C235" s="9">
        <v>38960</v>
      </c>
      <c r="D235" s="5">
        <v>18.11</v>
      </c>
      <c r="E235" s="6">
        <v>3.74</v>
      </c>
      <c r="F235" s="7">
        <v>1.46</v>
      </c>
      <c r="G235" s="6">
        <v>3597.38</v>
      </c>
      <c r="H235" s="6">
        <f t="shared" si="3"/>
        <v>155.04969630038653</v>
      </c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4"/>
      <c r="V235" s="13"/>
      <c r="W235" s="13"/>
    </row>
    <row r="236" spans="1:23" x14ac:dyDescent="0.3">
      <c r="A236" s="2" t="s">
        <v>2</v>
      </c>
      <c r="B236" s="4">
        <v>2562.5500000000002</v>
      </c>
      <c r="C236" s="8">
        <v>38929</v>
      </c>
      <c r="D236" s="2">
        <v>16.54</v>
      </c>
      <c r="E236" s="3">
        <v>3.47</v>
      </c>
      <c r="F236" s="4">
        <v>1.59</v>
      </c>
      <c r="G236" s="3">
        <v>3277.37</v>
      </c>
      <c r="H236" s="3">
        <f t="shared" si="3"/>
        <v>154.93047158403871</v>
      </c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4"/>
      <c r="V236" s="12"/>
      <c r="W236" s="12"/>
    </row>
    <row r="237" spans="1:23" x14ac:dyDescent="0.3">
      <c r="A237" s="5" t="s">
        <v>2</v>
      </c>
      <c r="B237" s="7">
        <v>2562.5</v>
      </c>
      <c r="C237" s="9">
        <v>38898</v>
      </c>
      <c r="D237" s="5">
        <v>17.25</v>
      </c>
      <c r="E237" s="6">
        <v>3.75</v>
      </c>
      <c r="F237" s="7">
        <v>1.53</v>
      </c>
      <c r="G237" s="6">
        <v>3270.48</v>
      </c>
      <c r="H237" s="6">
        <f t="shared" si="3"/>
        <v>148.55072463768116</v>
      </c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4"/>
      <c r="V237" s="13"/>
      <c r="W237" s="13"/>
    </row>
    <row r="238" spans="1:23" x14ac:dyDescent="0.3">
      <c r="A238" s="2" t="s">
        <v>2</v>
      </c>
      <c r="B238" s="4">
        <v>2635.25</v>
      </c>
      <c r="C238" s="8">
        <v>38868</v>
      </c>
      <c r="D238" s="2">
        <v>17.440000000000001</v>
      </c>
      <c r="E238" s="3">
        <v>4.03</v>
      </c>
      <c r="F238" s="4">
        <v>1.42</v>
      </c>
      <c r="G238" s="3">
        <v>3352.19</v>
      </c>
      <c r="H238" s="3">
        <f t="shared" si="3"/>
        <v>151.10378440366972</v>
      </c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4"/>
      <c r="V238" s="12"/>
      <c r="W238" s="12"/>
    </row>
    <row r="239" spans="1:23" x14ac:dyDescent="0.3">
      <c r="A239" s="5" t="s">
        <v>2</v>
      </c>
      <c r="B239" s="7">
        <v>3064.7</v>
      </c>
      <c r="C239" s="9">
        <v>38836</v>
      </c>
      <c r="D239" s="5">
        <v>20.83</v>
      </c>
      <c r="E239" s="6">
        <v>4.7</v>
      </c>
      <c r="F239" s="7">
        <v>1.22</v>
      </c>
      <c r="G239" s="6">
        <v>3893.58</v>
      </c>
      <c r="H239" s="6">
        <f t="shared" si="3"/>
        <v>147.12914066250602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4"/>
      <c r="V239" s="13"/>
      <c r="W239" s="13"/>
    </row>
    <row r="240" spans="1:23" x14ac:dyDescent="0.3">
      <c r="A240" s="2" t="s">
        <v>2</v>
      </c>
      <c r="B240" s="4">
        <v>2910.35</v>
      </c>
      <c r="C240" s="8">
        <v>38807</v>
      </c>
      <c r="D240" s="2">
        <v>21.81</v>
      </c>
      <c r="E240" s="3">
        <v>4.4400000000000004</v>
      </c>
      <c r="F240" s="4">
        <v>1.29</v>
      </c>
      <c r="G240" s="3">
        <v>3696.06</v>
      </c>
      <c r="H240" s="3">
        <f t="shared" si="3"/>
        <v>133.44108207244383</v>
      </c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4"/>
      <c r="V240" s="12"/>
      <c r="W240" s="12"/>
    </row>
    <row r="241" spans="1:23" x14ac:dyDescent="0.3">
      <c r="A241" s="5" t="s">
        <v>2</v>
      </c>
      <c r="B241" s="7">
        <v>2658.95</v>
      </c>
      <c r="C241" s="9">
        <v>38776</v>
      </c>
      <c r="D241" s="5">
        <v>19.84</v>
      </c>
      <c r="E241" s="6">
        <v>4</v>
      </c>
      <c r="F241" s="7">
        <v>1.43</v>
      </c>
      <c r="G241" s="6">
        <v>3375.15</v>
      </c>
      <c r="H241" s="6">
        <f t="shared" si="3"/>
        <v>134.01965725806451</v>
      </c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4"/>
      <c r="V241" s="13"/>
      <c r="W241" s="13"/>
    </row>
    <row r="242" spans="1:23" x14ac:dyDescent="0.3">
      <c r="A242" s="2" t="s">
        <v>2</v>
      </c>
      <c r="B242" s="4">
        <v>2585.9499999999998</v>
      </c>
      <c r="C242" s="8">
        <v>38748</v>
      </c>
      <c r="D242" s="2">
        <v>19.25</v>
      </c>
      <c r="E242" s="3">
        <v>3.88</v>
      </c>
      <c r="F242" s="4">
        <v>1.47</v>
      </c>
      <c r="G242" s="3">
        <v>3277.85</v>
      </c>
      <c r="H242" s="3">
        <f t="shared" si="3"/>
        <v>134.33506493506493</v>
      </c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4"/>
      <c r="V242" s="12"/>
      <c r="W242" s="12"/>
    </row>
    <row r="243" spans="1:23" x14ac:dyDescent="0.3">
      <c r="A243" s="5" t="s">
        <v>2</v>
      </c>
      <c r="B243" s="7">
        <v>2459.1999999999998</v>
      </c>
      <c r="C243" s="9">
        <v>38716</v>
      </c>
      <c r="D243" s="5">
        <v>18.579999999999998</v>
      </c>
      <c r="E243" s="6">
        <v>3.74</v>
      </c>
      <c r="F243" s="7">
        <v>1.51</v>
      </c>
      <c r="G243" s="6">
        <v>3115.58</v>
      </c>
      <c r="H243" s="6">
        <f t="shared" si="3"/>
        <v>132.35737351991389</v>
      </c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4"/>
      <c r="V243" s="13"/>
      <c r="W243" s="13"/>
    </row>
    <row r="244" spans="1:23" x14ac:dyDescent="0.3">
      <c r="A244" s="2" t="s">
        <v>2</v>
      </c>
      <c r="B244" s="4">
        <v>2306.15</v>
      </c>
      <c r="C244" s="8">
        <v>38686</v>
      </c>
      <c r="D244" s="2">
        <v>17.28</v>
      </c>
      <c r="E244" s="3">
        <v>3.48</v>
      </c>
      <c r="F244" s="4">
        <v>1.63</v>
      </c>
      <c r="G244" s="3">
        <v>2916.26</v>
      </c>
      <c r="H244" s="3">
        <f t="shared" si="3"/>
        <v>133.45775462962962</v>
      </c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4"/>
      <c r="V244" s="12"/>
      <c r="W244" s="12"/>
    </row>
    <row r="245" spans="1:23" x14ac:dyDescent="0.3">
      <c r="A245" t="s">
        <v>2</v>
      </c>
      <c r="B245" s="7">
        <v>2067.8000000000002</v>
      </c>
      <c r="C245" s="10">
        <v>38656</v>
      </c>
      <c r="D245">
        <v>15.45</v>
      </c>
      <c r="E245">
        <v>3.11</v>
      </c>
      <c r="F245">
        <v>1.82</v>
      </c>
      <c r="G245">
        <v>2614.16</v>
      </c>
      <c r="H245" s="3">
        <f t="shared" si="3"/>
        <v>133.8381877022654</v>
      </c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4"/>
      <c r="V245" s="12"/>
      <c r="W245" s="12"/>
    </row>
    <row r="246" spans="1:23" x14ac:dyDescent="0.3">
      <c r="A246" t="s">
        <v>2</v>
      </c>
      <c r="B246" s="4">
        <v>2274</v>
      </c>
      <c r="C246" s="10">
        <v>38625</v>
      </c>
      <c r="D246">
        <v>18.600000000000001</v>
      </c>
      <c r="E246">
        <v>3.63</v>
      </c>
      <c r="F246">
        <v>1.47</v>
      </c>
      <c r="G246">
        <v>2873.2</v>
      </c>
      <c r="H246" s="3">
        <f t="shared" si="3"/>
        <v>122.25806451612902</v>
      </c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4"/>
      <c r="V246" s="12"/>
      <c r="W246" s="12"/>
    </row>
    <row r="247" spans="1:23" x14ac:dyDescent="0.3">
      <c r="A247" t="s">
        <v>2</v>
      </c>
      <c r="B247" s="7">
        <v>2126.35</v>
      </c>
      <c r="C247" s="10">
        <v>38595</v>
      </c>
      <c r="D247">
        <v>18.170000000000002</v>
      </c>
      <c r="E247">
        <v>3.48</v>
      </c>
      <c r="F247">
        <v>1.55</v>
      </c>
      <c r="G247">
        <v>2676.23</v>
      </c>
      <c r="H247" s="3">
        <f t="shared" si="3"/>
        <v>117.02531645569618</v>
      </c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4"/>
      <c r="V247" s="12"/>
      <c r="W247" s="12"/>
    </row>
    <row r="248" spans="1:23" x14ac:dyDescent="0.3">
      <c r="A248" t="s">
        <v>2</v>
      </c>
      <c r="B248" s="4">
        <v>2027.4</v>
      </c>
      <c r="C248" s="10">
        <v>38562</v>
      </c>
      <c r="D248">
        <v>18.809999999999999</v>
      </c>
      <c r="E248">
        <v>3.46</v>
      </c>
      <c r="F248">
        <v>1.53</v>
      </c>
      <c r="G248">
        <v>2546.08</v>
      </c>
      <c r="H248" s="3">
        <f t="shared" si="3"/>
        <v>107.78309409888358</v>
      </c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4"/>
      <c r="V248" s="12"/>
      <c r="W248" s="12"/>
    </row>
    <row r="249" spans="1:23" x14ac:dyDescent="0.3">
      <c r="A249" t="s">
        <v>2</v>
      </c>
      <c r="B249" s="7">
        <v>1906.2</v>
      </c>
      <c r="C249" s="10">
        <v>38533</v>
      </c>
      <c r="D249">
        <v>18.02</v>
      </c>
      <c r="E249">
        <v>3.35</v>
      </c>
      <c r="F249">
        <v>1.63</v>
      </c>
      <c r="G249">
        <v>2388.84</v>
      </c>
      <c r="H249" s="3">
        <f t="shared" si="3"/>
        <v>105.78246392896781</v>
      </c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4"/>
      <c r="V249" s="12"/>
      <c r="W249" s="12"/>
    </row>
    <row r="250" spans="1:23" x14ac:dyDescent="0.3">
      <c r="A250" t="s">
        <v>2</v>
      </c>
      <c r="B250" s="4">
        <v>1834.85</v>
      </c>
      <c r="C250" s="10">
        <v>38503</v>
      </c>
      <c r="D250">
        <v>17.45</v>
      </c>
      <c r="E250">
        <v>3.26</v>
      </c>
      <c r="F250">
        <v>1.72</v>
      </c>
      <c r="G250">
        <v>2290.91</v>
      </c>
      <c r="H250" s="3">
        <f t="shared" si="3"/>
        <v>105.14899713467048</v>
      </c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4"/>
      <c r="V250" s="12"/>
      <c r="W250" s="12"/>
    </row>
    <row r="251" spans="1:23" x14ac:dyDescent="0.3">
      <c r="A251" t="s">
        <v>2</v>
      </c>
      <c r="B251" s="7">
        <v>1688.65</v>
      </c>
      <c r="C251" s="10">
        <v>38471</v>
      </c>
      <c r="D251">
        <v>16</v>
      </c>
      <c r="E251">
        <v>2.99</v>
      </c>
      <c r="F251">
        <v>1.87</v>
      </c>
      <c r="G251">
        <v>2105.2600000000002</v>
      </c>
      <c r="H251" s="3">
        <f t="shared" si="3"/>
        <v>105.54062500000001</v>
      </c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4"/>
      <c r="V251" s="12"/>
      <c r="W251" s="12"/>
    </row>
    <row r="252" spans="1:23" x14ac:dyDescent="0.3">
      <c r="A252" t="s">
        <v>2</v>
      </c>
      <c r="B252" s="4">
        <v>1772.85</v>
      </c>
      <c r="C252" s="10">
        <v>38442</v>
      </c>
      <c r="D252">
        <v>16.79</v>
      </c>
      <c r="E252">
        <v>3.13</v>
      </c>
      <c r="F252">
        <v>1.78</v>
      </c>
      <c r="G252">
        <v>2209.66</v>
      </c>
      <c r="H252" s="3">
        <f t="shared" si="3"/>
        <v>105.58963668850507</v>
      </c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4"/>
      <c r="V252" s="12"/>
      <c r="W252" s="12"/>
    </row>
    <row r="253" spans="1:23" x14ac:dyDescent="0.3">
      <c r="A253" t="s">
        <v>2</v>
      </c>
      <c r="B253" s="7">
        <v>1827.4</v>
      </c>
      <c r="C253" s="10">
        <v>38411</v>
      </c>
      <c r="D253">
        <v>17.47</v>
      </c>
      <c r="E253">
        <v>3.31</v>
      </c>
      <c r="F253">
        <v>1.75</v>
      </c>
      <c r="G253">
        <v>2277</v>
      </c>
      <c r="H253" s="3">
        <f t="shared" si="3"/>
        <v>104.60217515741272</v>
      </c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4"/>
      <c r="V253" s="12"/>
      <c r="W253" s="12"/>
    </row>
    <row r="254" spans="1:23" x14ac:dyDescent="0.3">
      <c r="A254" t="s">
        <v>2</v>
      </c>
      <c r="B254" s="4">
        <v>1768.25</v>
      </c>
      <c r="C254" s="10">
        <v>38383</v>
      </c>
      <c r="D254">
        <v>16.97</v>
      </c>
      <c r="E254">
        <v>3.2</v>
      </c>
      <c r="F254">
        <v>1.79</v>
      </c>
      <c r="G254">
        <v>2200.96</v>
      </c>
      <c r="H254" s="3">
        <f t="shared" si="3"/>
        <v>104.19858573954038</v>
      </c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4"/>
      <c r="V254" s="12"/>
      <c r="W254" s="12"/>
    </row>
    <row r="255" spans="1:23" x14ac:dyDescent="0.3">
      <c r="A255" t="s">
        <v>2</v>
      </c>
      <c r="B255" s="7">
        <v>1804.9</v>
      </c>
      <c r="C255" s="10">
        <v>38352</v>
      </c>
      <c r="D255">
        <v>17.170000000000002</v>
      </c>
      <c r="E255">
        <v>3.24</v>
      </c>
      <c r="F255">
        <v>1.77</v>
      </c>
      <c r="G255">
        <v>2245.16</v>
      </c>
      <c r="H255" s="3">
        <f t="shared" si="3"/>
        <v>105.1193942923704</v>
      </c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4"/>
      <c r="V255" s="12"/>
      <c r="W255" s="12"/>
    </row>
    <row r="256" spans="1:23" x14ac:dyDescent="0.3">
      <c r="A256" t="s">
        <v>2</v>
      </c>
      <c r="B256" s="4">
        <v>1653.2</v>
      </c>
      <c r="C256" s="10">
        <v>38321</v>
      </c>
      <c r="D256">
        <v>15.93</v>
      </c>
      <c r="E256">
        <v>2.85</v>
      </c>
      <c r="F256">
        <v>2.29</v>
      </c>
      <c r="G256">
        <v>2049.9899999999998</v>
      </c>
      <c r="H256" s="3">
        <f t="shared" si="3"/>
        <v>103.7790332705587</v>
      </c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4"/>
      <c r="V256" s="12"/>
      <c r="W256" s="12"/>
    </row>
    <row r="257" spans="1:23" x14ac:dyDescent="0.3">
      <c r="A257" t="s">
        <v>2</v>
      </c>
      <c r="B257" s="7">
        <v>1502.05</v>
      </c>
      <c r="C257" s="10">
        <v>38289</v>
      </c>
      <c r="D257">
        <v>14.42</v>
      </c>
      <c r="E257">
        <v>2.58</v>
      </c>
      <c r="F257">
        <v>2.5299999999999998</v>
      </c>
      <c r="G257">
        <v>1861.39</v>
      </c>
      <c r="H257" s="3">
        <f t="shared" si="3"/>
        <v>104.16435506241331</v>
      </c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4"/>
      <c r="V257" s="12"/>
      <c r="W257" s="12"/>
    </row>
    <row r="258" spans="1:23" x14ac:dyDescent="0.3">
      <c r="A258" t="s">
        <v>2</v>
      </c>
      <c r="B258" s="4">
        <v>1478.75</v>
      </c>
      <c r="C258" s="10">
        <v>38260</v>
      </c>
      <c r="D258">
        <v>15.2</v>
      </c>
      <c r="E258">
        <v>2.65</v>
      </c>
      <c r="F258">
        <v>2.29</v>
      </c>
      <c r="G258">
        <v>1831.8</v>
      </c>
      <c r="H258" s="3">
        <f t="shared" ref="H258:H321" si="4">B258/D258</f>
        <v>97.286184210526315</v>
      </c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4"/>
      <c r="V258" s="12"/>
      <c r="W258" s="12"/>
    </row>
    <row r="259" spans="1:23" x14ac:dyDescent="0.3">
      <c r="A259" t="s">
        <v>2</v>
      </c>
      <c r="B259" s="7">
        <v>1377.2</v>
      </c>
      <c r="C259" s="10">
        <v>38230</v>
      </c>
      <c r="D259">
        <v>13.97</v>
      </c>
      <c r="E259">
        <v>2.48</v>
      </c>
      <c r="F259">
        <v>2.42</v>
      </c>
      <c r="G259">
        <v>1699.7</v>
      </c>
      <c r="H259" s="3">
        <f t="shared" si="4"/>
        <v>98.582677165354326</v>
      </c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4"/>
      <c r="V259" s="12"/>
      <c r="W259" s="12"/>
    </row>
    <row r="260" spans="1:23" x14ac:dyDescent="0.3">
      <c r="A260" t="s">
        <v>2</v>
      </c>
      <c r="B260" s="4">
        <v>1351.45</v>
      </c>
      <c r="C260" s="10">
        <v>38198</v>
      </c>
      <c r="D260">
        <v>15.6</v>
      </c>
      <c r="E260">
        <v>2.57</v>
      </c>
      <c r="F260">
        <v>2.46</v>
      </c>
      <c r="G260">
        <v>1661.37</v>
      </c>
      <c r="H260" s="3">
        <f t="shared" si="4"/>
        <v>86.631410256410263</v>
      </c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4"/>
      <c r="V260" s="12"/>
      <c r="W260" s="12"/>
    </row>
    <row r="261" spans="1:23" x14ac:dyDescent="0.3">
      <c r="A261" t="s">
        <v>2</v>
      </c>
      <c r="B261" s="7">
        <v>1248</v>
      </c>
      <c r="C261" s="10">
        <v>38168</v>
      </c>
      <c r="D261">
        <v>14.37</v>
      </c>
      <c r="E261">
        <v>2.36</v>
      </c>
      <c r="F261">
        <v>2.68</v>
      </c>
      <c r="G261">
        <v>1528.15</v>
      </c>
      <c r="H261" s="3">
        <f t="shared" si="4"/>
        <v>86.847599164926933</v>
      </c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4"/>
      <c r="V261" s="12"/>
      <c r="W261" s="12"/>
    </row>
    <row r="262" spans="1:23" x14ac:dyDescent="0.3">
      <c r="A262" t="s">
        <v>2</v>
      </c>
      <c r="B262" s="4">
        <v>1226.55</v>
      </c>
      <c r="C262" s="10">
        <v>38138</v>
      </c>
      <c r="D262">
        <v>14.4</v>
      </c>
      <c r="E262">
        <v>2.37</v>
      </c>
      <c r="F262">
        <v>2.5</v>
      </c>
      <c r="G262">
        <v>1496.98</v>
      </c>
      <c r="H262" s="3">
        <f t="shared" si="4"/>
        <v>85.177083333333329</v>
      </c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4"/>
      <c r="V262" s="12"/>
      <c r="W262" s="12"/>
    </row>
    <row r="263" spans="1:23" x14ac:dyDescent="0.3">
      <c r="A263" t="s">
        <v>2</v>
      </c>
      <c r="B263" s="7">
        <v>1507.55</v>
      </c>
      <c r="C263" s="10">
        <v>38107</v>
      </c>
      <c r="D263">
        <v>17.75</v>
      </c>
      <c r="E263">
        <v>2.91</v>
      </c>
      <c r="F263">
        <v>2.0299999999999998</v>
      </c>
      <c r="G263">
        <v>1833.75</v>
      </c>
      <c r="H263" s="3">
        <f t="shared" si="4"/>
        <v>84.932394366197187</v>
      </c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4"/>
      <c r="V263" s="12"/>
      <c r="W263" s="12"/>
    </row>
    <row r="264" spans="1:23" x14ac:dyDescent="0.3">
      <c r="A264" t="s">
        <v>2</v>
      </c>
      <c r="B264" s="4">
        <v>1457.5</v>
      </c>
      <c r="C264" s="10">
        <v>38077</v>
      </c>
      <c r="D264">
        <v>17.12</v>
      </c>
      <c r="E264">
        <v>2.81</v>
      </c>
      <c r="F264">
        <v>2.1</v>
      </c>
      <c r="G264">
        <v>1772.28</v>
      </c>
      <c r="H264" s="3">
        <f t="shared" si="4"/>
        <v>85.134345794392516</v>
      </c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4"/>
      <c r="V264" s="12"/>
      <c r="W264" s="12"/>
    </row>
    <row r="265" spans="1:23" x14ac:dyDescent="0.3">
      <c r="A265" t="s">
        <v>2</v>
      </c>
      <c r="B265" s="7">
        <v>1442.8</v>
      </c>
      <c r="C265" s="10">
        <v>38044</v>
      </c>
      <c r="D265">
        <v>16.8</v>
      </c>
      <c r="E265">
        <v>2.75</v>
      </c>
      <c r="F265">
        <v>2.15</v>
      </c>
      <c r="G265">
        <v>1754.06</v>
      </c>
      <c r="H265" s="3">
        <f t="shared" si="4"/>
        <v>85.88095238095238</v>
      </c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4"/>
      <c r="V265" s="12"/>
      <c r="W265" s="12"/>
    </row>
    <row r="266" spans="1:23" x14ac:dyDescent="0.3">
      <c r="A266" t="s">
        <v>2</v>
      </c>
      <c r="B266" s="4">
        <v>1459.8</v>
      </c>
      <c r="C266" s="10">
        <v>38016</v>
      </c>
      <c r="D266">
        <v>16.95</v>
      </c>
      <c r="E266">
        <v>2.78</v>
      </c>
      <c r="F266">
        <v>2.13</v>
      </c>
      <c r="G266">
        <v>1770.46</v>
      </c>
      <c r="H266" s="3">
        <f t="shared" si="4"/>
        <v>86.123893805309734</v>
      </c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4"/>
      <c r="V266" s="12"/>
      <c r="W266" s="12"/>
    </row>
    <row r="267" spans="1:23" x14ac:dyDescent="0.3">
      <c r="A267" t="s">
        <v>2</v>
      </c>
      <c r="B267" s="7">
        <v>1531.35</v>
      </c>
      <c r="C267" s="10">
        <v>37986</v>
      </c>
      <c r="D267">
        <v>17.78</v>
      </c>
      <c r="E267">
        <v>2.91</v>
      </c>
      <c r="F267">
        <v>2.0299999999999998</v>
      </c>
      <c r="G267">
        <v>1854.38</v>
      </c>
      <c r="H267" s="3">
        <f t="shared" si="4"/>
        <v>86.127671541057353</v>
      </c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4"/>
      <c r="V267" s="12"/>
      <c r="W267" s="12"/>
    </row>
    <row r="268" spans="1:23" x14ac:dyDescent="0.3">
      <c r="A268" t="s">
        <v>2</v>
      </c>
      <c r="B268" s="4">
        <v>1285.4000000000001</v>
      </c>
      <c r="C268" s="10">
        <v>37953</v>
      </c>
      <c r="D268">
        <v>14.92</v>
      </c>
      <c r="E268">
        <v>2.44</v>
      </c>
      <c r="F268">
        <v>2.42</v>
      </c>
      <c r="G268">
        <v>1555.41</v>
      </c>
      <c r="H268" s="3">
        <f t="shared" si="4"/>
        <v>86.152815013404833</v>
      </c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4"/>
      <c r="V268" s="12"/>
      <c r="W268" s="12"/>
    </row>
    <row r="269" spans="1:23" x14ac:dyDescent="0.3">
      <c r="A269" t="s">
        <v>2</v>
      </c>
      <c r="B269" s="7">
        <v>1218.3</v>
      </c>
      <c r="C269" s="10">
        <v>37925</v>
      </c>
      <c r="D269">
        <v>17.03</v>
      </c>
      <c r="E269">
        <v>2.41</v>
      </c>
      <c r="F269">
        <v>2.21</v>
      </c>
      <c r="G269">
        <v>1473.54</v>
      </c>
      <c r="H269" s="3">
        <f t="shared" si="4"/>
        <v>71.538461538461533</v>
      </c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4"/>
      <c r="V269" s="12"/>
      <c r="W269" s="12"/>
    </row>
    <row r="270" spans="1:23" x14ac:dyDescent="0.3">
      <c r="A270" t="s">
        <v>2</v>
      </c>
      <c r="B270" s="4">
        <v>1138.55</v>
      </c>
      <c r="C270" s="10">
        <v>37894</v>
      </c>
      <c r="D270">
        <v>15.9</v>
      </c>
      <c r="E270">
        <v>2.25</v>
      </c>
      <c r="F270">
        <v>2.37</v>
      </c>
      <c r="G270">
        <v>1375.82</v>
      </c>
      <c r="H270" s="3">
        <f t="shared" si="4"/>
        <v>71.6069182389937</v>
      </c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4"/>
      <c r="V270" s="12"/>
      <c r="W270" s="12"/>
    </row>
    <row r="271" spans="1:23" x14ac:dyDescent="0.3">
      <c r="A271" t="s">
        <v>2</v>
      </c>
      <c r="B271" s="7">
        <v>1100.45</v>
      </c>
      <c r="C271" s="10">
        <v>37862</v>
      </c>
      <c r="D271">
        <v>17.739999999999998</v>
      </c>
      <c r="E271">
        <v>2.2400000000000002</v>
      </c>
      <c r="F271">
        <v>2.0699999999999998</v>
      </c>
      <c r="G271">
        <v>1320.53</v>
      </c>
      <c r="H271" s="3">
        <f t="shared" si="4"/>
        <v>62.032130777903049</v>
      </c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4"/>
      <c r="V271" s="12"/>
      <c r="W271" s="12"/>
    </row>
    <row r="272" spans="1:23" x14ac:dyDescent="0.3">
      <c r="A272" t="s">
        <v>2</v>
      </c>
      <c r="B272" s="4">
        <v>938.55</v>
      </c>
      <c r="C272" s="10">
        <v>37833</v>
      </c>
      <c r="D272">
        <v>15.23</v>
      </c>
      <c r="E272">
        <v>1.93</v>
      </c>
      <c r="F272">
        <v>2.4300000000000002</v>
      </c>
      <c r="G272">
        <v>1121.8399999999999</v>
      </c>
      <c r="H272" s="3">
        <f t="shared" si="4"/>
        <v>61.625082074852259</v>
      </c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4"/>
      <c r="V272" s="12"/>
      <c r="W272" s="12"/>
    </row>
    <row r="273" spans="1:23" x14ac:dyDescent="0.3">
      <c r="A273" t="s">
        <v>2</v>
      </c>
      <c r="B273" s="7">
        <v>894.5</v>
      </c>
      <c r="C273" s="10">
        <v>37802</v>
      </c>
      <c r="D273">
        <v>15.71</v>
      </c>
      <c r="E273">
        <v>1.89</v>
      </c>
      <c r="F273">
        <v>2.4</v>
      </c>
      <c r="G273">
        <v>1062.73</v>
      </c>
      <c r="H273" s="3">
        <f t="shared" si="4"/>
        <v>56.93825588796944</v>
      </c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4"/>
      <c r="V273" s="12"/>
      <c r="W273" s="12"/>
    </row>
    <row r="274" spans="1:23" x14ac:dyDescent="0.3">
      <c r="A274" t="s">
        <v>2</v>
      </c>
      <c r="B274" s="4">
        <v>807.2</v>
      </c>
      <c r="C274" s="10">
        <v>37771</v>
      </c>
      <c r="D274">
        <v>14.82</v>
      </c>
      <c r="E274">
        <v>1.72</v>
      </c>
      <c r="F274">
        <v>2.86</v>
      </c>
      <c r="G274">
        <v>955.79</v>
      </c>
      <c r="H274" s="3">
        <f t="shared" si="4"/>
        <v>54.466936572199735</v>
      </c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4"/>
      <c r="V274" s="12"/>
      <c r="W274" s="12"/>
    </row>
    <row r="275" spans="1:23" x14ac:dyDescent="0.3">
      <c r="A275" t="s">
        <v>2</v>
      </c>
      <c r="B275" s="7">
        <v>697.2</v>
      </c>
      <c r="C275" s="10">
        <v>37741</v>
      </c>
      <c r="D275">
        <v>12.8</v>
      </c>
      <c r="E275">
        <v>1.49</v>
      </c>
      <c r="F275">
        <v>3.32</v>
      </c>
      <c r="G275">
        <v>823.21</v>
      </c>
      <c r="H275" s="3">
        <f t="shared" si="4"/>
        <v>54.46875</v>
      </c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4"/>
      <c r="V275" s="12"/>
      <c r="W275" s="12"/>
    </row>
    <row r="276" spans="1:23" x14ac:dyDescent="0.3">
      <c r="A276" t="s">
        <v>2</v>
      </c>
      <c r="B276" s="4">
        <v>701.35</v>
      </c>
      <c r="C276" s="10">
        <v>37711</v>
      </c>
      <c r="D276">
        <v>12.89</v>
      </c>
      <c r="E276">
        <v>1.5</v>
      </c>
      <c r="F276">
        <v>3.01</v>
      </c>
      <c r="G276">
        <v>826.71</v>
      </c>
      <c r="H276" s="3">
        <f t="shared" si="4"/>
        <v>54.410395655546935</v>
      </c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4"/>
      <c r="V276" s="12"/>
      <c r="W276" s="12"/>
    </row>
    <row r="277" spans="1:23" x14ac:dyDescent="0.3">
      <c r="A277" t="s">
        <v>2</v>
      </c>
      <c r="B277" s="7">
        <v>762</v>
      </c>
      <c r="C277" s="10">
        <v>37680</v>
      </c>
      <c r="D277">
        <v>13.82</v>
      </c>
      <c r="E277">
        <v>1.63</v>
      </c>
      <c r="F277">
        <v>2.83</v>
      </c>
      <c r="G277">
        <v>897.96</v>
      </c>
      <c r="H277" s="3">
        <f t="shared" si="4"/>
        <v>55.137481910274964</v>
      </c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4"/>
      <c r="V277" s="12"/>
      <c r="W277" s="12"/>
    </row>
    <row r="278" spans="1:23" x14ac:dyDescent="0.3">
      <c r="A278" t="s">
        <v>2</v>
      </c>
      <c r="B278" s="4">
        <v>749.1</v>
      </c>
      <c r="C278" s="10">
        <v>37652</v>
      </c>
      <c r="D278">
        <v>13.58</v>
      </c>
      <c r="E278">
        <v>1.6</v>
      </c>
      <c r="F278">
        <v>2.88</v>
      </c>
      <c r="G278">
        <v>878</v>
      </c>
      <c r="H278" s="3">
        <f t="shared" si="4"/>
        <v>55.1620029455081</v>
      </c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4"/>
      <c r="V278" s="12"/>
      <c r="W278" s="12"/>
    </row>
    <row r="279" spans="1:23" x14ac:dyDescent="0.3">
      <c r="A279" t="s">
        <v>2</v>
      </c>
      <c r="B279" s="7">
        <v>772.85</v>
      </c>
      <c r="C279" s="10">
        <v>37621</v>
      </c>
      <c r="D279">
        <v>14.02</v>
      </c>
      <c r="E279">
        <v>1.65</v>
      </c>
      <c r="F279">
        <v>2.79</v>
      </c>
      <c r="G279">
        <v>905.22</v>
      </c>
      <c r="H279" s="3">
        <f t="shared" si="4"/>
        <v>55.124821683309563</v>
      </c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4"/>
      <c r="V279" s="12"/>
      <c r="W279" s="12"/>
    </row>
    <row r="280" spans="1:23" x14ac:dyDescent="0.3">
      <c r="A280" t="s">
        <v>2</v>
      </c>
      <c r="B280" s="4">
        <v>741.55</v>
      </c>
      <c r="C280" s="10">
        <v>37589</v>
      </c>
      <c r="D280">
        <v>12.8</v>
      </c>
      <c r="E280">
        <v>1.64</v>
      </c>
      <c r="F280">
        <v>2.61</v>
      </c>
      <c r="G280">
        <v>868.14</v>
      </c>
      <c r="H280" s="3">
        <f t="shared" si="4"/>
        <v>57.933593749999993</v>
      </c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4"/>
      <c r="V280" s="12"/>
      <c r="W280" s="12"/>
    </row>
    <row r="281" spans="1:23" x14ac:dyDescent="0.3">
      <c r="A281" t="s">
        <v>2</v>
      </c>
      <c r="B281" s="7">
        <v>691.95</v>
      </c>
      <c r="C281" s="10">
        <v>37560</v>
      </c>
      <c r="D281">
        <v>11.96</v>
      </c>
      <c r="E281">
        <v>1.53</v>
      </c>
      <c r="F281">
        <v>2.8</v>
      </c>
      <c r="G281">
        <v>809.91</v>
      </c>
      <c r="H281" s="3">
        <f t="shared" si="4"/>
        <v>57.855351170568561</v>
      </c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4"/>
      <c r="V281" s="12"/>
      <c r="W281" s="12"/>
    </row>
    <row r="282" spans="1:23" x14ac:dyDescent="0.3">
      <c r="A282" t="s">
        <v>2</v>
      </c>
      <c r="B282" s="4">
        <v>691</v>
      </c>
      <c r="C282" s="10">
        <v>37529</v>
      </c>
      <c r="D282">
        <v>11.73</v>
      </c>
      <c r="E282">
        <v>1.5</v>
      </c>
      <c r="F282">
        <v>2.85</v>
      </c>
      <c r="G282">
        <v>807.39</v>
      </c>
      <c r="H282" s="3">
        <f t="shared" si="4"/>
        <v>58.908780903665814</v>
      </c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4"/>
      <c r="V282" s="12"/>
      <c r="W282" s="12"/>
    </row>
    <row r="283" spans="1:23" x14ac:dyDescent="0.3">
      <c r="A283" t="s">
        <v>2</v>
      </c>
      <c r="B283" s="7">
        <v>737.15</v>
      </c>
      <c r="C283" s="10">
        <v>37498</v>
      </c>
      <c r="D283">
        <v>12.43</v>
      </c>
      <c r="E283">
        <v>1.59</v>
      </c>
      <c r="F283">
        <v>2.65</v>
      </c>
      <c r="G283">
        <v>856.87</v>
      </c>
      <c r="H283" s="3">
        <f t="shared" si="4"/>
        <v>59.304102976669348</v>
      </c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4"/>
      <c r="V283" s="12"/>
      <c r="W283" s="12"/>
    </row>
    <row r="284" spans="1:23" x14ac:dyDescent="0.3">
      <c r="A284" t="s">
        <v>2</v>
      </c>
      <c r="B284" s="4">
        <v>706.65</v>
      </c>
      <c r="C284" s="10">
        <v>37468</v>
      </c>
      <c r="D284">
        <v>11.92</v>
      </c>
      <c r="E284">
        <v>1.52</v>
      </c>
      <c r="F284">
        <v>2.76</v>
      </c>
      <c r="G284">
        <v>815.33</v>
      </c>
      <c r="H284" s="3">
        <f t="shared" si="4"/>
        <v>59.28271812080537</v>
      </c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4"/>
      <c r="V284" s="12"/>
      <c r="W284" s="12"/>
    </row>
    <row r="285" spans="1:23" x14ac:dyDescent="0.3">
      <c r="A285" t="s">
        <v>2</v>
      </c>
      <c r="B285" s="7">
        <v>772.85</v>
      </c>
      <c r="C285" s="10">
        <v>37435</v>
      </c>
      <c r="D285">
        <v>13.54</v>
      </c>
      <c r="E285">
        <v>1.7</v>
      </c>
      <c r="F285">
        <v>2.46</v>
      </c>
      <c r="G285">
        <v>886.25</v>
      </c>
      <c r="H285" s="3">
        <f t="shared" si="4"/>
        <v>57.079025110782872</v>
      </c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4"/>
      <c r="V285" s="12"/>
      <c r="W285" s="12"/>
    </row>
    <row r="286" spans="1:23" x14ac:dyDescent="0.3">
      <c r="A286" t="s">
        <v>2</v>
      </c>
      <c r="B286" s="4">
        <v>739.55</v>
      </c>
      <c r="C286" s="10">
        <v>37407</v>
      </c>
      <c r="D286">
        <v>13.62</v>
      </c>
      <c r="E286">
        <v>1.65</v>
      </c>
      <c r="F286">
        <v>2.4900000000000002</v>
      </c>
      <c r="G286">
        <v>846.58</v>
      </c>
      <c r="H286" s="3">
        <f t="shared" si="4"/>
        <v>54.298825256975036</v>
      </c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4"/>
      <c r="V286" s="12"/>
      <c r="W286" s="12"/>
    </row>
    <row r="287" spans="1:23" x14ac:dyDescent="0.3">
      <c r="A287" t="s">
        <v>2</v>
      </c>
      <c r="B287" s="7">
        <v>771.3</v>
      </c>
      <c r="C287" s="10">
        <v>37376</v>
      </c>
      <c r="D287">
        <v>14.03</v>
      </c>
      <c r="E287">
        <v>1.7</v>
      </c>
      <c r="F287">
        <v>2.41</v>
      </c>
      <c r="G287">
        <v>881.35</v>
      </c>
      <c r="H287" s="3">
        <f t="shared" si="4"/>
        <v>54.975053456878115</v>
      </c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4"/>
      <c r="V287" s="12"/>
      <c r="W287" s="12"/>
    </row>
    <row r="288" spans="1:23" x14ac:dyDescent="0.3">
      <c r="A288" t="s">
        <v>2</v>
      </c>
      <c r="B288" s="4">
        <v>775.5</v>
      </c>
      <c r="C288" s="10">
        <v>37343</v>
      </c>
      <c r="D288">
        <v>14.82</v>
      </c>
      <c r="E288">
        <v>1.7</v>
      </c>
      <c r="F288">
        <v>2.42</v>
      </c>
      <c r="G288">
        <v>884.82</v>
      </c>
      <c r="H288" s="3">
        <f t="shared" si="4"/>
        <v>52.32793522267206</v>
      </c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4"/>
      <c r="V288" s="12"/>
      <c r="W288" s="12"/>
    </row>
    <row r="289" spans="1:23" x14ac:dyDescent="0.3">
      <c r="A289" t="s">
        <v>2</v>
      </c>
      <c r="B289" s="7">
        <v>767.6</v>
      </c>
      <c r="C289" s="10">
        <v>37315</v>
      </c>
      <c r="D289">
        <v>14.65</v>
      </c>
      <c r="E289">
        <v>1.68</v>
      </c>
      <c r="F289">
        <v>2.4500000000000002</v>
      </c>
      <c r="G289">
        <v>875.71</v>
      </c>
      <c r="H289" s="3">
        <f t="shared" si="4"/>
        <v>52.395904436860071</v>
      </c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4"/>
      <c r="V289" s="12"/>
      <c r="W289" s="12"/>
    </row>
    <row r="290" spans="1:23" x14ac:dyDescent="0.3">
      <c r="A290" t="s">
        <v>2</v>
      </c>
      <c r="B290" s="4">
        <v>714.5</v>
      </c>
      <c r="C290" s="10">
        <v>37287</v>
      </c>
      <c r="D290">
        <v>15.18</v>
      </c>
      <c r="E290">
        <v>1.71</v>
      </c>
      <c r="F290">
        <v>1.95</v>
      </c>
      <c r="G290">
        <v>814.21</v>
      </c>
      <c r="H290" s="3">
        <f t="shared" si="4"/>
        <v>47.068511198945984</v>
      </c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4"/>
      <c r="V290" s="12"/>
      <c r="W290" s="12"/>
    </row>
    <row r="291" spans="1:23" x14ac:dyDescent="0.3">
      <c r="A291" t="s">
        <v>2</v>
      </c>
      <c r="B291" s="7">
        <v>700.6</v>
      </c>
      <c r="C291" s="10">
        <v>37256</v>
      </c>
      <c r="D291">
        <v>14.82</v>
      </c>
      <c r="E291">
        <v>1.68</v>
      </c>
      <c r="F291">
        <v>1.99</v>
      </c>
      <c r="G291">
        <v>794.58</v>
      </c>
      <c r="H291" s="3">
        <f t="shared" si="4"/>
        <v>47.273954116059379</v>
      </c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4"/>
      <c r="V291" s="12"/>
      <c r="W291" s="12"/>
    </row>
    <row r="292" spans="1:23" x14ac:dyDescent="0.3">
      <c r="A292" t="s">
        <v>2</v>
      </c>
      <c r="B292" s="4">
        <v>703.2</v>
      </c>
      <c r="C292" s="10">
        <v>37224</v>
      </c>
      <c r="D292">
        <v>14.9</v>
      </c>
      <c r="E292">
        <v>1.66</v>
      </c>
      <c r="F292">
        <v>2</v>
      </c>
      <c r="G292">
        <v>797.49</v>
      </c>
      <c r="H292" s="3">
        <f t="shared" si="4"/>
        <v>47.194630872483224</v>
      </c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4"/>
      <c r="V292" s="12"/>
      <c r="W292" s="12"/>
    </row>
    <row r="293" spans="1:23" x14ac:dyDescent="0.3">
      <c r="A293" t="s">
        <v>2</v>
      </c>
      <c r="B293" s="7">
        <v>622.20000000000005</v>
      </c>
      <c r="C293" s="10">
        <v>37195</v>
      </c>
      <c r="D293">
        <v>13.18</v>
      </c>
      <c r="E293">
        <v>1.47</v>
      </c>
      <c r="F293">
        <v>2.2599999999999998</v>
      </c>
      <c r="G293">
        <v>705.45</v>
      </c>
      <c r="H293" s="3">
        <f t="shared" si="4"/>
        <v>47.207890743550841</v>
      </c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4"/>
      <c r="V293" s="12"/>
      <c r="W293" s="12"/>
    </row>
    <row r="294" spans="1:23" x14ac:dyDescent="0.3">
      <c r="A294" t="s">
        <v>2</v>
      </c>
      <c r="B294" s="4">
        <v>583.54999999999995</v>
      </c>
      <c r="C294" s="10">
        <v>37162</v>
      </c>
      <c r="D294">
        <v>12.39</v>
      </c>
      <c r="E294">
        <v>1.37</v>
      </c>
      <c r="F294">
        <v>2.41</v>
      </c>
      <c r="G294">
        <v>661.21</v>
      </c>
      <c r="H294" s="3">
        <f t="shared" si="4"/>
        <v>47.098466505246158</v>
      </c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4"/>
      <c r="V294" s="12"/>
      <c r="W294" s="12"/>
    </row>
    <row r="295" spans="1:23" x14ac:dyDescent="0.3">
      <c r="A295" t="s">
        <v>2</v>
      </c>
      <c r="B295" s="7">
        <v>684.2</v>
      </c>
      <c r="C295" s="10">
        <v>37134</v>
      </c>
      <c r="D295">
        <v>14.53</v>
      </c>
      <c r="E295">
        <v>1.61</v>
      </c>
      <c r="F295">
        <v>2.06</v>
      </c>
      <c r="G295">
        <v>769.77</v>
      </c>
      <c r="H295" s="3">
        <f t="shared" si="4"/>
        <v>47.088781830695119</v>
      </c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4"/>
      <c r="V295" s="12"/>
      <c r="W295" s="12"/>
    </row>
    <row r="296" spans="1:23" x14ac:dyDescent="0.3">
      <c r="A296" t="s">
        <v>2</v>
      </c>
      <c r="B296" s="4">
        <v>697.05</v>
      </c>
      <c r="C296" s="10">
        <v>37103</v>
      </c>
      <c r="D296">
        <v>14.76</v>
      </c>
      <c r="E296">
        <v>1.62</v>
      </c>
      <c r="F296">
        <v>2.04</v>
      </c>
      <c r="G296">
        <v>782.01</v>
      </c>
      <c r="H296" s="3">
        <f t="shared" si="4"/>
        <v>47.225609756097562</v>
      </c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4"/>
      <c r="V296" s="12"/>
      <c r="W296" s="12"/>
    </row>
    <row r="297" spans="1:23" x14ac:dyDescent="0.3">
      <c r="A297" t="s">
        <v>2</v>
      </c>
      <c r="B297" s="7">
        <v>725.85</v>
      </c>
      <c r="C297" s="10">
        <v>37071</v>
      </c>
      <c r="D297">
        <v>15.36</v>
      </c>
      <c r="E297">
        <v>1.69</v>
      </c>
      <c r="F297">
        <v>1.96</v>
      </c>
      <c r="G297">
        <v>811.5</v>
      </c>
      <c r="H297" s="3">
        <f t="shared" si="4"/>
        <v>47.255859375</v>
      </c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4"/>
      <c r="V297" s="12"/>
      <c r="W297" s="12"/>
    </row>
    <row r="298" spans="1:23" x14ac:dyDescent="0.3">
      <c r="A298" t="s">
        <v>2</v>
      </c>
      <c r="B298" s="4">
        <v>791</v>
      </c>
      <c r="C298" s="10">
        <v>37042</v>
      </c>
      <c r="D298">
        <v>17.11</v>
      </c>
      <c r="E298">
        <v>1.85</v>
      </c>
      <c r="F298">
        <v>1.95</v>
      </c>
      <c r="G298">
        <v>882.28</v>
      </c>
      <c r="H298" s="3">
        <f t="shared" si="4"/>
        <v>46.230274693161896</v>
      </c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4"/>
      <c r="V298" s="12"/>
      <c r="W298" s="12"/>
    </row>
    <row r="299" spans="1:23" x14ac:dyDescent="0.3">
      <c r="A299" t="s">
        <v>2</v>
      </c>
      <c r="B299" s="7">
        <v>746.2</v>
      </c>
      <c r="C299" s="10">
        <v>37011</v>
      </c>
      <c r="D299">
        <v>16.079999999999998</v>
      </c>
      <c r="E299">
        <v>1.76</v>
      </c>
      <c r="F299">
        <v>2.0499999999999998</v>
      </c>
      <c r="G299">
        <v>829.03</v>
      </c>
      <c r="H299" s="3">
        <f t="shared" si="4"/>
        <v>46.405472636815929</v>
      </c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4"/>
      <c r="V299" s="12"/>
      <c r="W299" s="12"/>
    </row>
    <row r="300" spans="1:23" x14ac:dyDescent="0.3">
      <c r="A300" t="s">
        <v>2</v>
      </c>
      <c r="B300" s="4">
        <v>754.2</v>
      </c>
      <c r="C300" s="10">
        <v>36980</v>
      </c>
      <c r="D300">
        <v>16.12</v>
      </c>
      <c r="E300">
        <v>1.74</v>
      </c>
      <c r="F300">
        <v>2.09</v>
      </c>
      <c r="G300">
        <v>836.98</v>
      </c>
      <c r="H300" s="3">
        <f t="shared" si="4"/>
        <v>46.786600496277913</v>
      </c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4"/>
      <c r="V300" s="12"/>
      <c r="W300" s="12"/>
    </row>
    <row r="301" spans="1:23" x14ac:dyDescent="0.3">
      <c r="A301" t="s">
        <v>2</v>
      </c>
      <c r="B301" s="7">
        <v>952.3</v>
      </c>
      <c r="C301" s="10">
        <v>36950</v>
      </c>
      <c r="D301">
        <v>20.3</v>
      </c>
      <c r="E301">
        <v>2.19</v>
      </c>
      <c r="F301">
        <v>1.66</v>
      </c>
      <c r="G301">
        <v>1054.8399999999999</v>
      </c>
      <c r="H301" s="3">
        <f t="shared" si="4"/>
        <v>46.911330049261082</v>
      </c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4"/>
      <c r="V301" s="12"/>
      <c r="W301" s="12"/>
    </row>
    <row r="302" spans="1:23" x14ac:dyDescent="0.3">
      <c r="A302" t="s">
        <v>2</v>
      </c>
      <c r="B302" s="4">
        <v>981.2</v>
      </c>
      <c r="C302" s="10">
        <v>36922</v>
      </c>
      <c r="D302">
        <v>20.89</v>
      </c>
      <c r="E302">
        <v>2.25</v>
      </c>
      <c r="F302">
        <v>1.61</v>
      </c>
      <c r="G302">
        <v>1088.81</v>
      </c>
      <c r="H302" s="3">
        <f t="shared" si="4"/>
        <v>46.96984202967927</v>
      </c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4"/>
      <c r="V302" s="12"/>
      <c r="W302" s="12"/>
    </row>
    <row r="303" spans="1:23" x14ac:dyDescent="0.3">
      <c r="A303" t="s">
        <v>2</v>
      </c>
      <c r="B303" s="7">
        <v>912.85</v>
      </c>
      <c r="C303" s="10">
        <v>36889</v>
      </c>
      <c r="D303">
        <v>19.43</v>
      </c>
      <c r="E303">
        <v>2.09</v>
      </c>
      <c r="F303">
        <v>1.73</v>
      </c>
      <c r="G303">
        <v>1012.89</v>
      </c>
      <c r="H303" s="3">
        <f t="shared" si="4"/>
        <v>46.981471950591867</v>
      </c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4"/>
      <c r="V303" s="12"/>
      <c r="W303" s="12"/>
    </row>
    <row r="304" spans="1:23" x14ac:dyDescent="0.3">
      <c r="A304" t="s">
        <v>2</v>
      </c>
      <c r="B304" s="4">
        <v>920.9</v>
      </c>
      <c r="C304" s="10">
        <v>36860</v>
      </c>
      <c r="D304">
        <v>22.4</v>
      </c>
      <c r="E304">
        <v>2.33</v>
      </c>
      <c r="F304">
        <v>1.48</v>
      </c>
      <c r="G304">
        <v>1021.84</v>
      </c>
      <c r="H304" s="3">
        <f t="shared" si="4"/>
        <v>41.111607142857146</v>
      </c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4"/>
      <c r="V304" s="12"/>
      <c r="W304" s="12"/>
    </row>
    <row r="305" spans="1:23" x14ac:dyDescent="0.3">
      <c r="A305" t="s">
        <v>2</v>
      </c>
      <c r="B305" s="7">
        <v>851.05</v>
      </c>
      <c r="C305" s="10">
        <v>36830</v>
      </c>
      <c r="D305">
        <v>20.54</v>
      </c>
      <c r="E305">
        <v>2.14</v>
      </c>
      <c r="F305">
        <v>1.62</v>
      </c>
      <c r="G305">
        <v>944.2</v>
      </c>
      <c r="H305" s="3">
        <f t="shared" si="4"/>
        <v>41.433787731256082</v>
      </c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4"/>
      <c r="V305" s="12"/>
      <c r="W305" s="12"/>
    </row>
    <row r="306" spans="1:23" x14ac:dyDescent="0.3">
      <c r="A306" t="s">
        <v>2</v>
      </c>
      <c r="B306" s="4">
        <v>925.4</v>
      </c>
      <c r="C306" s="10">
        <v>36798</v>
      </c>
      <c r="D306">
        <v>22.34</v>
      </c>
      <c r="E306">
        <v>2.33</v>
      </c>
      <c r="F306">
        <v>1.49</v>
      </c>
      <c r="G306">
        <v>1026.6300000000001</v>
      </c>
      <c r="H306" s="3">
        <f t="shared" si="4"/>
        <v>41.423455684870184</v>
      </c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4"/>
      <c r="V306" s="12"/>
      <c r="W306" s="12"/>
    </row>
    <row r="307" spans="1:23" x14ac:dyDescent="0.3">
      <c r="A307" t="s">
        <v>2</v>
      </c>
      <c r="B307" s="7">
        <v>1026.45</v>
      </c>
      <c r="C307" s="10">
        <v>36769</v>
      </c>
      <c r="D307">
        <v>24.99</v>
      </c>
      <c r="E307">
        <v>2.57</v>
      </c>
      <c r="F307">
        <v>1.34</v>
      </c>
      <c r="G307">
        <v>1137.78</v>
      </c>
      <c r="H307" s="3">
        <f t="shared" si="4"/>
        <v>41.074429771908768</v>
      </c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4"/>
      <c r="V307" s="12"/>
      <c r="W307" s="12"/>
    </row>
    <row r="308" spans="1:23" x14ac:dyDescent="0.3">
      <c r="A308" t="s">
        <v>2</v>
      </c>
      <c r="B308" s="4">
        <v>959.7</v>
      </c>
      <c r="C308" s="10">
        <v>36738</v>
      </c>
      <c r="D308">
        <v>23.36</v>
      </c>
      <c r="E308">
        <v>2.41</v>
      </c>
      <c r="F308">
        <v>1.43</v>
      </c>
      <c r="G308">
        <v>1062.99</v>
      </c>
      <c r="H308" s="3">
        <f t="shared" si="4"/>
        <v>41.083047945205479</v>
      </c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4"/>
      <c r="V308" s="12"/>
      <c r="W308" s="12"/>
    </row>
    <row r="309" spans="1:23" x14ac:dyDescent="0.3">
      <c r="A309" t="s">
        <v>2</v>
      </c>
      <c r="B309" s="7">
        <v>1073.7</v>
      </c>
      <c r="C309" s="10">
        <v>36707</v>
      </c>
      <c r="D309">
        <v>25.99</v>
      </c>
      <c r="E309">
        <v>2.68</v>
      </c>
      <c r="F309">
        <v>1.29</v>
      </c>
      <c r="G309">
        <v>1188.5999999999999</v>
      </c>
      <c r="H309" s="3">
        <f t="shared" si="4"/>
        <v>41.3120430934975</v>
      </c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4"/>
      <c r="V309" s="12"/>
      <c r="W309" s="12"/>
    </row>
    <row r="310" spans="1:23" x14ac:dyDescent="0.3">
      <c r="A310" t="s">
        <v>2</v>
      </c>
      <c r="B310" s="4">
        <v>967.6</v>
      </c>
      <c r="C310" s="10">
        <v>36677</v>
      </c>
      <c r="D310">
        <v>24.03</v>
      </c>
      <c r="E310">
        <v>2.4500000000000002</v>
      </c>
      <c r="F310">
        <v>1.39</v>
      </c>
      <c r="G310">
        <v>1070.44</v>
      </c>
      <c r="H310" s="3">
        <f t="shared" si="4"/>
        <v>40.266333749479813</v>
      </c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4"/>
      <c r="V310" s="12"/>
      <c r="W310" s="12"/>
    </row>
    <row r="311" spans="1:23" x14ac:dyDescent="0.3">
      <c r="A311" t="s">
        <v>2</v>
      </c>
      <c r="B311" s="7">
        <v>1067.5999999999999</v>
      </c>
      <c r="C311" s="10">
        <v>36644</v>
      </c>
      <c r="D311">
        <v>24.71</v>
      </c>
      <c r="E311">
        <v>2.5299999999999998</v>
      </c>
      <c r="F311">
        <v>1.36</v>
      </c>
      <c r="G311">
        <v>1180.4000000000001</v>
      </c>
      <c r="H311" s="3">
        <f t="shared" si="4"/>
        <v>43.205180089032773</v>
      </c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4"/>
      <c r="V311" s="12"/>
      <c r="W311" s="12"/>
    </row>
    <row r="312" spans="1:23" x14ac:dyDescent="0.3">
      <c r="A312" t="s">
        <v>2</v>
      </c>
      <c r="B312" s="4">
        <v>1322.9</v>
      </c>
      <c r="C312" s="10">
        <v>36616</v>
      </c>
      <c r="D312">
        <v>30.57</v>
      </c>
      <c r="E312">
        <v>3.14</v>
      </c>
      <c r="F312">
        <v>1.1000000000000001</v>
      </c>
      <c r="G312">
        <v>1455.31</v>
      </c>
      <c r="H312" s="3">
        <f t="shared" si="4"/>
        <v>43.274452077199875</v>
      </c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4"/>
      <c r="V312" s="12"/>
      <c r="W312" s="12"/>
    </row>
    <row r="313" spans="1:23" x14ac:dyDescent="0.3">
      <c r="A313" t="s">
        <v>2</v>
      </c>
      <c r="B313" s="7">
        <v>1486.65</v>
      </c>
      <c r="C313" s="10">
        <v>36585</v>
      </c>
      <c r="D313">
        <v>34.31</v>
      </c>
      <c r="E313">
        <v>3.52</v>
      </c>
      <c r="F313">
        <v>0.98</v>
      </c>
      <c r="G313">
        <v>1633.13</v>
      </c>
      <c r="H313" s="3">
        <f t="shared" si="4"/>
        <v>43.329932964150395</v>
      </c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4"/>
      <c r="V313" s="12"/>
      <c r="W313" s="12"/>
    </row>
    <row r="314" spans="1:23" x14ac:dyDescent="0.3">
      <c r="A314" t="s">
        <v>2</v>
      </c>
      <c r="B314" s="4">
        <v>1316.25</v>
      </c>
      <c r="C314" s="10">
        <v>36556</v>
      </c>
      <c r="D314">
        <v>27.96</v>
      </c>
      <c r="E314">
        <v>3.21</v>
      </c>
      <c r="F314">
        <v>1.06</v>
      </c>
      <c r="G314">
        <v>1445.58</v>
      </c>
      <c r="H314" s="3">
        <f t="shared" si="4"/>
        <v>47.076180257510728</v>
      </c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4"/>
      <c r="V314" s="12"/>
      <c r="W314" s="12"/>
    </row>
    <row r="315" spans="1:23" x14ac:dyDescent="0.3">
      <c r="A315" t="s">
        <v>2</v>
      </c>
      <c r="B315" s="7">
        <v>1205.01</v>
      </c>
      <c r="C315" s="10">
        <v>36524</v>
      </c>
      <c r="D315">
        <v>25.68</v>
      </c>
      <c r="E315">
        <v>2.94</v>
      </c>
      <c r="F315">
        <v>1.1599999999999999</v>
      </c>
      <c r="G315">
        <v>1323.19</v>
      </c>
      <c r="H315" s="3">
        <f t="shared" si="4"/>
        <v>46.924065420560751</v>
      </c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4"/>
      <c r="V315" s="12"/>
      <c r="W315" s="12"/>
    </row>
    <row r="316" spans="1:23" x14ac:dyDescent="0.3">
      <c r="A316" t="s">
        <v>2</v>
      </c>
      <c r="B316" s="4">
        <v>1039.0899999999999</v>
      </c>
      <c r="C316" s="10">
        <v>36494</v>
      </c>
      <c r="D316">
        <v>22.14</v>
      </c>
      <c r="E316">
        <v>2.4900000000000002</v>
      </c>
      <c r="F316">
        <v>1.37</v>
      </c>
      <c r="G316">
        <v>1140.74</v>
      </c>
      <c r="H316" s="3">
        <f t="shared" si="4"/>
        <v>46.932700993676598</v>
      </c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4"/>
      <c r="V316" s="12"/>
      <c r="W316" s="12"/>
    </row>
    <row r="317" spans="1:23" x14ac:dyDescent="0.3">
      <c r="A317" t="s">
        <v>2</v>
      </c>
      <c r="B317" s="7">
        <v>972.62</v>
      </c>
      <c r="C317" s="10">
        <v>36462</v>
      </c>
      <c r="D317">
        <v>20.28</v>
      </c>
      <c r="E317">
        <v>2.2799999999999998</v>
      </c>
      <c r="F317">
        <v>1.49</v>
      </c>
      <c r="G317">
        <v>1067.56</v>
      </c>
      <c r="H317" s="3">
        <f t="shared" si="4"/>
        <v>47.959566074950686</v>
      </c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4"/>
      <c r="V317" s="12"/>
      <c r="W317" s="12"/>
    </row>
    <row r="318" spans="1:23" x14ac:dyDescent="0.3">
      <c r="A318" t="s">
        <v>2</v>
      </c>
      <c r="B318" s="4">
        <v>1025.1099999999999</v>
      </c>
      <c r="C318" s="10">
        <v>36433</v>
      </c>
      <c r="D318">
        <v>21.76</v>
      </c>
      <c r="E318">
        <v>2.4300000000000002</v>
      </c>
      <c r="F318">
        <v>1.4</v>
      </c>
      <c r="G318">
        <v>1125.04</v>
      </c>
      <c r="H318" s="3">
        <f t="shared" si="4"/>
        <v>47.109834558823522</v>
      </c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4"/>
      <c r="V318" s="12"/>
      <c r="W318" s="12"/>
    </row>
    <row r="319" spans="1:23" x14ac:dyDescent="0.3">
      <c r="A319" t="s">
        <v>2</v>
      </c>
      <c r="B319" s="7">
        <v>999.66</v>
      </c>
      <c r="C319" s="10">
        <v>36403</v>
      </c>
      <c r="D319">
        <v>19.63</v>
      </c>
      <c r="E319">
        <v>2.4500000000000002</v>
      </c>
      <c r="F319">
        <v>1.42</v>
      </c>
      <c r="G319">
        <v>1096.5999999999999</v>
      </c>
      <c r="H319" s="3">
        <f t="shared" si="4"/>
        <v>50.925114620478858</v>
      </c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4"/>
      <c r="V319" s="12"/>
      <c r="W319" s="12"/>
    </row>
    <row r="320" spans="1:23" x14ac:dyDescent="0.3">
      <c r="A320" t="s">
        <v>2</v>
      </c>
      <c r="B320" s="4">
        <v>905.03</v>
      </c>
      <c r="C320" s="10">
        <v>36371</v>
      </c>
      <c r="D320">
        <v>17.39</v>
      </c>
      <c r="E320">
        <v>2.1800000000000002</v>
      </c>
      <c r="F320">
        <v>1.6</v>
      </c>
      <c r="G320">
        <v>990.45</v>
      </c>
      <c r="H320" s="3">
        <f t="shared" si="4"/>
        <v>52.043128234617591</v>
      </c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4"/>
      <c r="V320" s="12"/>
      <c r="W320" s="12"/>
    </row>
    <row r="321" spans="1:23" x14ac:dyDescent="0.3">
      <c r="A321" t="s">
        <v>2</v>
      </c>
      <c r="B321" s="7">
        <v>806.12</v>
      </c>
      <c r="C321" s="10">
        <v>36341</v>
      </c>
      <c r="D321">
        <v>15.52</v>
      </c>
      <c r="E321">
        <v>1.94</v>
      </c>
      <c r="F321">
        <v>1.71</v>
      </c>
      <c r="G321">
        <v>880.76</v>
      </c>
      <c r="H321" s="3">
        <f t="shared" si="4"/>
        <v>51.940721649484537</v>
      </c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4"/>
      <c r="V321" s="12"/>
      <c r="W321" s="12"/>
    </row>
    <row r="322" spans="1:23" x14ac:dyDescent="0.3">
      <c r="A322" t="s">
        <v>2</v>
      </c>
      <c r="B322" s="4">
        <v>772.28</v>
      </c>
      <c r="C322" s="10">
        <v>36311</v>
      </c>
      <c r="D322">
        <v>14.85</v>
      </c>
      <c r="E322">
        <v>1.86</v>
      </c>
      <c r="F322">
        <v>1.79</v>
      </c>
      <c r="G322">
        <v>839.73</v>
      </c>
      <c r="H322" s="3">
        <f t="shared" ref="H322:H362" si="5">B322/D322</f>
        <v>52.005387205387201</v>
      </c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4"/>
      <c r="V322" s="12"/>
      <c r="W322" s="12"/>
    </row>
    <row r="323" spans="1:23" x14ac:dyDescent="0.3">
      <c r="A323" t="s">
        <v>2</v>
      </c>
      <c r="B323" s="7">
        <v>680.6</v>
      </c>
      <c r="C323" s="10">
        <v>36280</v>
      </c>
      <c r="D323">
        <v>13.55</v>
      </c>
      <c r="E323">
        <v>1.63</v>
      </c>
      <c r="F323">
        <v>2.0299999999999998</v>
      </c>
      <c r="G323">
        <v>737.22</v>
      </c>
      <c r="H323" s="3">
        <f t="shared" si="5"/>
        <v>50.228782287822874</v>
      </c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4"/>
      <c r="V323" s="12"/>
      <c r="W323" s="12"/>
    </row>
    <row r="324" spans="1:23" x14ac:dyDescent="0.3">
      <c r="A324" t="s">
        <v>2</v>
      </c>
      <c r="B324" s="4">
        <v>758.25</v>
      </c>
      <c r="C324" s="10">
        <v>36250</v>
      </c>
      <c r="D324">
        <v>15.11</v>
      </c>
      <c r="E324">
        <v>1.81</v>
      </c>
      <c r="F324">
        <v>1.84</v>
      </c>
      <c r="G324">
        <v>821.18</v>
      </c>
      <c r="H324" s="3">
        <f t="shared" si="5"/>
        <v>50.181998676373262</v>
      </c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4"/>
      <c r="V324" s="12"/>
      <c r="W324" s="12"/>
    </row>
    <row r="325" spans="1:23" x14ac:dyDescent="0.3">
      <c r="A325" t="s">
        <v>2</v>
      </c>
      <c r="B325" s="7">
        <v>687.4</v>
      </c>
      <c r="C325" s="10">
        <v>36218</v>
      </c>
      <c r="D325">
        <v>13.66</v>
      </c>
      <c r="E325">
        <v>1.63</v>
      </c>
      <c r="F325">
        <v>2.0299999999999998</v>
      </c>
      <c r="G325">
        <v>743.55</v>
      </c>
      <c r="H325" s="3">
        <f t="shared" si="5"/>
        <v>50.322108345534403</v>
      </c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4"/>
      <c r="V325" s="12"/>
      <c r="W325" s="12"/>
    </row>
    <row r="326" spans="1:23" x14ac:dyDescent="0.3">
      <c r="A326" t="s">
        <v>2</v>
      </c>
      <c r="B326" s="4">
        <v>673.88</v>
      </c>
      <c r="C326" s="10">
        <v>36189</v>
      </c>
      <c r="D326">
        <v>13.47</v>
      </c>
      <c r="E326">
        <v>1.59</v>
      </c>
      <c r="F326">
        <v>2.0699999999999998</v>
      </c>
      <c r="G326">
        <v>728.72</v>
      </c>
      <c r="H326" s="3">
        <f t="shared" si="5"/>
        <v>50.028210838901259</v>
      </c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4"/>
      <c r="V326" s="12"/>
      <c r="W326" s="12"/>
    </row>
    <row r="327" spans="1:23" x14ac:dyDescent="0.3">
      <c r="A327" t="s">
        <v>2</v>
      </c>
      <c r="B327" s="7">
        <v>609.05999999999995</v>
      </c>
      <c r="C327" s="10">
        <v>36160</v>
      </c>
      <c r="D327">
        <v>12.04</v>
      </c>
      <c r="E327">
        <v>1.42</v>
      </c>
      <c r="F327">
        <v>2.31</v>
      </c>
      <c r="G327">
        <v>658.58</v>
      </c>
      <c r="H327" s="3">
        <f t="shared" si="5"/>
        <v>50.58637873754153</v>
      </c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4"/>
      <c r="V327" s="12"/>
      <c r="W327" s="12"/>
    </row>
    <row r="328" spans="1:23" x14ac:dyDescent="0.3">
      <c r="A328" t="s">
        <v>2</v>
      </c>
      <c r="B328" s="4">
        <v>561.9</v>
      </c>
      <c r="C328" s="10">
        <v>36129</v>
      </c>
      <c r="D328">
        <v>10.9</v>
      </c>
      <c r="E328">
        <v>1.34</v>
      </c>
      <c r="F328">
        <v>2.54</v>
      </c>
      <c r="G328">
        <v>607.47</v>
      </c>
      <c r="H328" s="3">
        <f t="shared" si="5"/>
        <v>51.550458715596328</v>
      </c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4"/>
      <c r="V328" s="12"/>
      <c r="W328" s="12"/>
    </row>
    <row r="329" spans="1:23" x14ac:dyDescent="0.3">
      <c r="A329" t="s">
        <v>2</v>
      </c>
      <c r="B329" s="7">
        <v>570.6</v>
      </c>
      <c r="C329" s="10">
        <v>36099</v>
      </c>
      <c r="D329">
        <v>11.04</v>
      </c>
      <c r="E329">
        <v>1.35</v>
      </c>
      <c r="F329">
        <v>2.5</v>
      </c>
      <c r="G329">
        <v>615.12</v>
      </c>
      <c r="H329" s="3">
        <f t="shared" si="5"/>
        <v>51.684782608695656</v>
      </c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4"/>
      <c r="V329" s="12"/>
      <c r="W329" s="12"/>
    </row>
    <row r="330" spans="1:23" x14ac:dyDescent="0.3">
      <c r="A330" t="s">
        <v>2</v>
      </c>
      <c r="B330" s="4">
        <v>622.94000000000005</v>
      </c>
      <c r="C330" s="10">
        <v>36068</v>
      </c>
      <c r="D330">
        <v>12.07</v>
      </c>
      <c r="E330">
        <v>1.48</v>
      </c>
      <c r="F330">
        <v>2.29</v>
      </c>
      <c r="G330">
        <v>672.81</v>
      </c>
      <c r="H330" s="3">
        <f>B330/D330</f>
        <v>51.610604805302408</v>
      </c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4"/>
      <c r="V330" s="12"/>
      <c r="W330" s="12"/>
    </row>
    <row r="331" spans="1:23" x14ac:dyDescent="0.3">
      <c r="A331" t="s">
        <v>2</v>
      </c>
      <c r="B331" s="7">
        <v>589.53</v>
      </c>
      <c r="C331" s="10">
        <v>36038</v>
      </c>
      <c r="D331">
        <v>11.42</v>
      </c>
      <c r="E331">
        <v>1.4</v>
      </c>
      <c r="F331">
        <v>2.42</v>
      </c>
      <c r="G331">
        <v>636.55999999999995</v>
      </c>
      <c r="H331" s="3">
        <f t="shared" si="5"/>
        <v>51.622591943957964</v>
      </c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4"/>
      <c r="V331" s="12"/>
      <c r="W331" s="12"/>
    </row>
    <row r="332" spans="1:23" x14ac:dyDescent="0.3">
      <c r="A332" t="s">
        <v>2</v>
      </c>
      <c r="B332" s="4">
        <v>621.70000000000005</v>
      </c>
      <c r="C332" s="10">
        <v>36007</v>
      </c>
      <c r="D332">
        <v>12.15</v>
      </c>
      <c r="E332">
        <v>1.55</v>
      </c>
      <c r="F332">
        <v>2.2000000000000002</v>
      </c>
      <c r="G332">
        <v>668.02</v>
      </c>
      <c r="H332" s="3">
        <f t="shared" si="5"/>
        <v>51.168724279835395</v>
      </c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4"/>
      <c r="V332" s="12"/>
      <c r="W332" s="12"/>
    </row>
    <row r="333" spans="1:23" x14ac:dyDescent="0.3">
      <c r="A333" t="s">
        <v>2</v>
      </c>
      <c r="B333" s="7">
        <v>624.4</v>
      </c>
      <c r="C333" s="10">
        <v>35976</v>
      </c>
      <c r="D333">
        <v>12.2</v>
      </c>
      <c r="E333">
        <v>1.56</v>
      </c>
      <c r="F333">
        <v>2.19</v>
      </c>
      <c r="G333">
        <v>668.89</v>
      </c>
      <c r="H333" s="3">
        <f t="shared" si="5"/>
        <v>51.180327868852459</v>
      </c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4"/>
      <c r="V333" s="12"/>
      <c r="W333" s="12"/>
    </row>
    <row r="334" spans="1:23" x14ac:dyDescent="0.3">
      <c r="A334" t="s">
        <v>2</v>
      </c>
      <c r="B334" s="4">
        <v>723.86</v>
      </c>
      <c r="C334" s="10">
        <v>35944</v>
      </c>
      <c r="D334">
        <v>14.32</v>
      </c>
      <c r="E334">
        <v>1.8</v>
      </c>
      <c r="F334">
        <v>1.89</v>
      </c>
      <c r="G334">
        <v>771.28</v>
      </c>
      <c r="H334" s="3">
        <f t="shared" si="5"/>
        <v>50.548882681564244</v>
      </c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4"/>
      <c r="V334" s="12"/>
      <c r="W334" s="12"/>
    </row>
    <row r="335" spans="1:23" x14ac:dyDescent="0.3">
      <c r="A335" t="s">
        <v>2</v>
      </c>
      <c r="B335" s="7">
        <v>755.7</v>
      </c>
      <c r="C335" s="10">
        <v>35915</v>
      </c>
      <c r="D335">
        <v>14.65</v>
      </c>
      <c r="E335">
        <v>1.85</v>
      </c>
      <c r="F335">
        <v>1.85</v>
      </c>
      <c r="G335">
        <v>803.1</v>
      </c>
      <c r="H335" s="3">
        <f t="shared" si="5"/>
        <v>51.583617747440272</v>
      </c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4"/>
      <c r="V335" s="12"/>
      <c r="W335" s="12"/>
    </row>
    <row r="336" spans="1:23" x14ac:dyDescent="0.3">
      <c r="A336" t="s">
        <v>2</v>
      </c>
      <c r="B336" s="4">
        <v>715.54</v>
      </c>
      <c r="C336" s="10">
        <v>35885</v>
      </c>
      <c r="D336">
        <v>13.85</v>
      </c>
      <c r="E336">
        <v>1.75</v>
      </c>
      <c r="F336">
        <v>1.95</v>
      </c>
      <c r="G336">
        <v>759.26</v>
      </c>
      <c r="H336" s="3">
        <f t="shared" si="5"/>
        <v>51.663537906137179</v>
      </c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4"/>
      <c r="V336" s="12"/>
      <c r="W336" s="12"/>
    </row>
    <row r="337" spans="1:23" x14ac:dyDescent="0.3">
      <c r="A337" t="s">
        <v>2</v>
      </c>
      <c r="B337" s="7">
        <v>657.86</v>
      </c>
      <c r="C337" s="10">
        <v>35853</v>
      </c>
      <c r="D337">
        <v>12.66</v>
      </c>
      <c r="E337">
        <v>1.59</v>
      </c>
      <c r="F337">
        <v>2.14</v>
      </c>
      <c r="G337">
        <v>697.15</v>
      </c>
      <c r="H337" s="3">
        <f t="shared" si="5"/>
        <v>51.963665086887836</v>
      </c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4"/>
      <c r="V337" s="12"/>
      <c r="W337" s="12"/>
    </row>
    <row r="338" spans="1:23" x14ac:dyDescent="0.3">
      <c r="A338" t="s">
        <v>2</v>
      </c>
      <c r="B338" s="4">
        <v>594.38</v>
      </c>
      <c r="C338" s="10">
        <v>35824</v>
      </c>
      <c r="D338">
        <v>11.29</v>
      </c>
      <c r="E338">
        <v>1.43</v>
      </c>
      <c r="F338">
        <v>2.41</v>
      </c>
      <c r="G338">
        <v>629.62</v>
      </c>
      <c r="H338" s="3">
        <f t="shared" si="5"/>
        <v>52.64658990256865</v>
      </c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4"/>
      <c r="V338" s="12"/>
      <c r="W338" s="12"/>
    </row>
    <row r="339" spans="1:23" x14ac:dyDescent="0.3">
      <c r="A339" t="s">
        <v>2</v>
      </c>
      <c r="B339" s="7">
        <v>667.41</v>
      </c>
      <c r="C339" s="10">
        <v>35795</v>
      </c>
      <c r="D339">
        <v>11.53</v>
      </c>
      <c r="E339">
        <v>1.72</v>
      </c>
      <c r="F339">
        <v>2.17</v>
      </c>
      <c r="G339">
        <v>706.93</v>
      </c>
      <c r="H339" s="3">
        <f t="shared" si="5"/>
        <v>57.884648742411102</v>
      </c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4"/>
      <c r="V339" s="12"/>
      <c r="W339" s="12"/>
    </row>
    <row r="340" spans="1:23" x14ac:dyDescent="0.3">
      <c r="A340" t="s">
        <v>2</v>
      </c>
      <c r="B340" s="4">
        <v>656.63</v>
      </c>
      <c r="C340" s="10">
        <v>35762</v>
      </c>
      <c r="D340">
        <v>11.42</v>
      </c>
      <c r="E340">
        <v>1.77</v>
      </c>
      <c r="F340">
        <v>2.13</v>
      </c>
      <c r="G340">
        <v>695.28</v>
      </c>
      <c r="H340" s="3">
        <f t="shared" si="5"/>
        <v>57.498248686514884</v>
      </c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4"/>
      <c r="V340" s="12"/>
      <c r="W340" s="12"/>
    </row>
    <row r="341" spans="1:23" x14ac:dyDescent="0.3">
      <c r="A341" t="s">
        <v>2</v>
      </c>
      <c r="B341" s="7">
        <v>721.16</v>
      </c>
      <c r="C341" s="10">
        <v>35733</v>
      </c>
      <c r="D341">
        <v>12.26</v>
      </c>
      <c r="E341">
        <v>1.9</v>
      </c>
      <c r="F341">
        <v>1.98</v>
      </c>
      <c r="G341">
        <v>746.25</v>
      </c>
      <c r="H341" s="3">
        <f t="shared" si="5"/>
        <v>58.822185970636212</v>
      </c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4"/>
      <c r="V341" s="12"/>
      <c r="W341" s="12"/>
    </row>
    <row r="342" spans="1:23" x14ac:dyDescent="0.3">
      <c r="A342" t="s">
        <v>2</v>
      </c>
      <c r="B342" s="4">
        <v>721.1</v>
      </c>
      <c r="C342" s="10">
        <v>35703</v>
      </c>
      <c r="D342">
        <v>12.52</v>
      </c>
      <c r="E342">
        <v>1.94</v>
      </c>
      <c r="F342">
        <v>1.94</v>
      </c>
      <c r="G342">
        <v>762.71</v>
      </c>
      <c r="H342" s="3">
        <f t="shared" si="5"/>
        <v>57.595846645367416</v>
      </c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4"/>
      <c r="V342" s="12"/>
      <c r="W342" s="12"/>
    </row>
    <row r="343" spans="1:23" x14ac:dyDescent="0.3">
      <c r="A343" t="s">
        <v>2</v>
      </c>
      <c r="B343" s="7">
        <v>727.51</v>
      </c>
      <c r="C343" s="10">
        <v>35671</v>
      </c>
      <c r="D343">
        <v>14.71</v>
      </c>
      <c r="E343">
        <v>1.85</v>
      </c>
      <c r="F343">
        <v>1.73</v>
      </c>
      <c r="G343">
        <v>768.86</v>
      </c>
      <c r="H343" s="3">
        <f t="shared" si="5"/>
        <v>49.456832087015634</v>
      </c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4"/>
      <c r="V343" s="12"/>
      <c r="W343" s="12"/>
    </row>
    <row r="344" spans="1:23" x14ac:dyDescent="0.3">
      <c r="A344" t="s">
        <v>2</v>
      </c>
      <c r="B344" s="4">
        <v>798.81</v>
      </c>
      <c r="C344" s="10">
        <v>35642</v>
      </c>
      <c r="D344">
        <v>16</v>
      </c>
      <c r="E344">
        <v>2.0299999999999998</v>
      </c>
      <c r="F344">
        <v>1.59</v>
      </c>
      <c r="G344">
        <v>841.39</v>
      </c>
      <c r="H344" s="3">
        <f t="shared" si="5"/>
        <v>49.925624999999997</v>
      </c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4"/>
      <c r="V344" s="12"/>
      <c r="W344" s="12"/>
    </row>
    <row r="345" spans="1:23" x14ac:dyDescent="0.3">
      <c r="A345" t="s">
        <v>2</v>
      </c>
      <c r="B345" s="7">
        <v>763.34</v>
      </c>
      <c r="C345" s="10">
        <v>35611</v>
      </c>
      <c r="D345">
        <v>14.4</v>
      </c>
      <c r="E345">
        <v>1.94</v>
      </c>
      <c r="F345">
        <v>1.74</v>
      </c>
      <c r="G345">
        <v>801.41</v>
      </c>
      <c r="H345" s="3">
        <f t="shared" si="5"/>
        <v>53.009722222222223</v>
      </c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4"/>
      <c r="V345" s="12"/>
      <c r="W345" s="12"/>
    </row>
    <row r="346" spans="1:23" x14ac:dyDescent="0.3">
      <c r="A346" t="s">
        <v>2</v>
      </c>
      <c r="B346" s="4">
        <v>686.31</v>
      </c>
      <c r="C346" s="10">
        <v>35580</v>
      </c>
      <c r="D346">
        <v>12.11</v>
      </c>
      <c r="E346">
        <v>1.74</v>
      </c>
      <c r="F346">
        <v>1.89</v>
      </c>
      <c r="G346">
        <v>717.57</v>
      </c>
      <c r="H346" s="3">
        <f t="shared" si="5"/>
        <v>56.672997522708506</v>
      </c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4"/>
      <c r="V346" s="12"/>
      <c r="W346" s="12"/>
    </row>
    <row r="347" spans="1:23" x14ac:dyDescent="0.3">
      <c r="A347" t="s">
        <v>2</v>
      </c>
      <c r="B347" s="7">
        <v>700.18</v>
      </c>
      <c r="C347" s="10">
        <v>35550</v>
      </c>
      <c r="D347">
        <v>12.15</v>
      </c>
      <c r="E347">
        <v>1.76</v>
      </c>
      <c r="F347">
        <v>1.91</v>
      </c>
      <c r="G347">
        <v>730</v>
      </c>
      <c r="H347" s="3">
        <f t="shared" si="5"/>
        <v>57.627983539094643</v>
      </c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4"/>
      <c r="V347" s="12"/>
      <c r="W347" s="12"/>
    </row>
    <row r="348" spans="1:23" x14ac:dyDescent="0.3">
      <c r="A348" t="s">
        <v>2</v>
      </c>
      <c r="B348" s="4">
        <v>631.41999999999996</v>
      </c>
      <c r="C348" s="10">
        <v>35520</v>
      </c>
      <c r="D348">
        <v>11.18</v>
      </c>
      <c r="E348">
        <v>1.58</v>
      </c>
      <c r="F348">
        <v>1.95</v>
      </c>
      <c r="G348">
        <v>657.19</v>
      </c>
      <c r="H348" s="3">
        <f t="shared" si="5"/>
        <v>56.477638640429333</v>
      </c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4"/>
      <c r="V348" s="12"/>
      <c r="W348" s="12"/>
    </row>
    <row r="349" spans="1:23" x14ac:dyDescent="0.3">
      <c r="A349" t="s">
        <v>2</v>
      </c>
      <c r="B349" s="7">
        <v>647.58000000000004</v>
      </c>
      <c r="C349" s="10">
        <v>35489</v>
      </c>
      <c r="D349">
        <v>11.88</v>
      </c>
      <c r="E349">
        <v>1.79</v>
      </c>
      <c r="F349">
        <v>1.79</v>
      </c>
      <c r="G349">
        <v>700.52</v>
      </c>
      <c r="H349" s="3">
        <f t="shared" si="5"/>
        <v>54.51010101010101</v>
      </c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4"/>
      <c r="V349" s="12"/>
      <c r="W349" s="12"/>
    </row>
    <row r="350" spans="1:23" x14ac:dyDescent="0.3">
      <c r="A350" t="s">
        <v>2</v>
      </c>
      <c r="B350" s="4">
        <v>640.15</v>
      </c>
      <c r="C350" s="10">
        <v>35461</v>
      </c>
      <c r="D350">
        <v>11.2</v>
      </c>
      <c r="E350">
        <v>1.7</v>
      </c>
      <c r="F350">
        <v>1.8</v>
      </c>
      <c r="G350">
        <v>665.86</v>
      </c>
      <c r="H350" s="3">
        <f t="shared" si="5"/>
        <v>57.15625</v>
      </c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4"/>
      <c r="V350" s="12"/>
      <c r="W350" s="12"/>
    </row>
    <row r="351" spans="1:23" x14ac:dyDescent="0.3">
      <c r="A351" t="s">
        <v>2</v>
      </c>
      <c r="B351" s="7">
        <v>593.55999999999995</v>
      </c>
      <c r="C351" s="10">
        <v>35423</v>
      </c>
      <c r="D351">
        <v>10.31</v>
      </c>
      <c r="E351">
        <v>1.58</v>
      </c>
      <c r="F351">
        <v>1.93</v>
      </c>
      <c r="G351">
        <v>617.38</v>
      </c>
      <c r="H351">
        <f t="shared" si="5"/>
        <v>57.571290009699311</v>
      </c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4"/>
      <c r="V351" s="11"/>
      <c r="W351" s="11"/>
    </row>
    <row r="352" spans="1:23" x14ac:dyDescent="0.3">
      <c r="A352" t="s">
        <v>2</v>
      </c>
      <c r="B352" s="4">
        <v>559.04999999999995</v>
      </c>
      <c r="C352" s="10">
        <v>35398</v>
      </c>
      <c r="D352">
        <v>9.4</v>
      </c>
      <c r="E352">
        <v>1.49</v>
      </c>
      <c r="F352">
        <v>1.96</v>
      </c>
      <c r="G352">
        <v>581.19000000000005</v>
      </c>
      <c r="H352">
        <f t="shared" si="5"/>
        <v>59.473404255319139</v>
      </c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4"/>
      <c r="V352" s="11"/>
      <c r="W352" s="11"/>
    </row>
    <row r="353" spans="1:23" x14ac:dyDescent="0.3">
      <c r="A353" t="s">
        <v>2</v>
      </c>
      <c r="B353" s="7">
        <v>606.99</v>
      </c>
      <c r="C353" s="10">
        <v>35369</v>
      </c>
      <c r="D353">
        <v>10.220000000000001</v>
      </c>
      <c r="E353">
        <v>1.6</v>
      </c>
      <c r="F353">
        <v>1.85</v>
      </c>
      <c r="G353">
        <v>630.29999999999995</v>
      </c>
      <c r="H353">
        <f t="shared" si="5"/>
        <v>59.392367906066532</v>
      </c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4"/>
      <c r="V353" s="11"/>
      <c r="W353" s="11"/>
    </row>
    <row r="354" spans="1:23" x14ac:dyDescent="0.3">
      <c r="A354" t="s">
        <v>2</v>
      </c>
      <c r="B354" s="4">
        <v>626.20000000000005</v>
      </c>
      <c r="C354" s="10">
        <v>35338</v>
      </c>
      <c r="D354">
        <v>10.73</v>
      </c>
      <c r="E354">
        <v>1.65</v>
      </c>
      <c r="F354">
        <v>1.67</v>
      </c>
      <c r="G354">
        <v>650.03</v>
      </c>
      <c r="H354">
        <f t="shared" si="5"/>
        <v>58.359739049394221</v>
      </c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4"/>
      <c r="V354" s="11"/>
      <c r="W354" s="11"/>
    </row>
    <row r="355" spans="1:23" x14ac:dyDescent="0.3">
      <c r="A355" t="s">
        <v>2</v>
      </c>
      <c r="B355" s="7">
        <v>696.78</v>
      </c>
      <c r="C355" s="10">
        <v>35307</v>
      </c>
      <c r="D355">
        <v>11.87</v>
      </c>
      <c r="E355">
        <v>1.82</v>
      </c>
      <c r="F355">
        <v>1.48</v>
      </c>
      <c r="G355">
        <v>723.68</v>
      </c>
      <c r="H355">
        <f t="shared" si="5"/>
        <v>58.700926705981466</v>
      </c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4"/>
      <c r="V355" s="11"/>
      <c r="W355" s="11"/>
    </row>
    <row r="356" spans="1:23" x14ac:dyDescent="0.3">
      <c r="A356" t="s">
        <v>2</v>
      </c>
      <c r="B356" s="4">
        <v>706.57</v>
      </c>
      <c r="C356" s="10">
        <v>35277</v>
      </c>
      <c r="D356">
        <v>12.67</v>
      </c>
      <c r="E356">
        <v>1.87</v>
      </c>
      <c r="F356">
        <v>1.38</v>
      </c>
      <c r="G356">
        <v>738.15</v>
      </c>
      <c r="H356">
        <f t="shared" si="5"/>
        <v>55.767166535122342</v>
      </c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4"/>
      <c r="V356" s="11"/>
      <c r="W356" s="11"/>
    </row>
    <row r="357" spans="1:23" x14ac:dyDescent="0.3">
      <c r="A357" t="s">
        <v>2</v>
      </c>
      <c r="B357" s="7">
        <v>785.93</v>
      </c>
      <c r="C357" s="10">
        <v>35244</v>
      </c>
      <c r="D357">
        <v>13.3</v>
      </c>
      <c r="E357">
        <v>2.0699999999999998</v>
      </c>
      <c r="F357">
        <v>1.26</v>
      </c>
      <c r="G357">
        <v>808.28</v>
      </c>
      <c r="H357">
        <f t="shared" si="5"/>
        <v>59.092481203007509</v>
      </c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4"/>
      <c r="V357" s="11"/>
      <c r="W357" s="11"/>
    </row>
    <row r="358" spans="1:23" x14ac:dyDescent="0.3">
      <c r="A358" t="s">
        <v>2</v>
      </c>
      <c r="B358" s="4">
        <v>762.37</v>
      </c>
      <c r="C358" s="10">
        <v>35216</v>
      </c>
      <c r="D358">
        <v>12.79</v>
      </c>
      <c r="E358">
        <v>2</v>
      </c>
      <c r="F358">
        <v>1.34</v>
      </c>
      <c r="G358">
        <v>781.13</v>
      </c>
      <c r="H358">
        <f t="shared" si="5"/>
        <v>59.606724003127447</v>
      </c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4"/>
      <c r="V358" s="11"/>
      <c r="W358" s="11"/>
    </row>
    <row r="359" spans="1:23" x14ac:dyDescent="0.3">
      <c r="A359" t="s">
        <v>2</v>
      </c>
      <c r="B359" s="7">
        <v>792.82</v>
      </c>
      <c r="C359" s="10">
        <v>35185</v>
      </c>
      <c r="D359">
        <v>13.63</v>
      </c>
      <c r="E359">
        <v>2.08</v>
      </c>
      <c r="F359">
        <v>1.2</v>
      </c>
      <c r="G359">
        <v>810.31</v>
      </c>
      <c r="H359">
        <f t="shared" si="5"/>
        <v>58.167278063096113</v>
      </c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4"/>
      <c r="V359" s="11"/>
      <c r="W359" s="11"/>
    </row>
    <row r="360" spans="1:23" x14ac:dyDescent="0.3">
      <c r="A360" t="s">
        <v>2</v>
      </c>
      <c r="B360" s="4">
        <v>700.13</v>
      </c>
      <c r="C360" s="10">
        <v>35153</v>
      </c>
      <c r="D360">
        <v>12.64</v>
      </c>
      <c r="E360">
        <v>2.2400000000000002</v>
      </c>
      <c r="F360">
        <v>1.35</v>
      </c>
      <c r="G360">
        <v>714.37</v>
      </c>
      <c r="H360">
        <f t="shared" si="5"/>
        <v>55.390031645569614</v>
      </c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4"/>
      <c r="V360" s="11"/>
      <c r="W360" s="11"/>
    </row>
    <row r="361" spans="1:23" x14ac:dyDescent="0.3">
      <c r="A361" t="s">
        <v>2</v>
      </c>
      <c r="B361" s="7">
        <v>700.74</v>
      </c>
      <c r="C361" s="10">
        <v>35124</v>
      </c>
      <c r="D361">
        <v>12.61</v>
      </c>
      <c r="E361">
        <v>2.2400000000000002</v>
      </c>
      <c r="F361">
        <v>1.35</v>
      </c>
      <c r="G361">
        <v>713.32</v>
      </c>
      <c r="H361">
        <f t="shared" si="5"/>
        <v>55.570182394924664</v>
      </c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4"/>
      <c r="V361" s="11"/>
      <c r="W361" s="11"/>
    </row>
    <row r="362" spans="1:23" x14ac:dyDescent="0.3">
      <c r="A362" t="s">
        <v>2</v>
      </c>
      <c r="B362" s="4">
        <v>604.86</v>
      </c>
      <c r="C362" s="10">
        <v>35095</v>
      </c>
      <c r="D362">
        <v>10.7</v>
      </c>
      <c r="E362">
        <v>1.92</v>
      </c>
      <c r="F362">
        <v>1.55</v>
      </c>
      <c r="G362">
        <v>616.71</v>
      </c>
      <c r="H362">
        <f t="shared" si="5"/>
        <v>56.528971962616829</v>
      </c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4"/>
      <c r="V362" s="11"/>
      <c r="W362" s="1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0ADED-424E-4669-83C4-90F6089B4EF0}">
  <dimension ref="A1:I329"/>
  <sheetViews>
    <sheetView zoomScale="130" zoomScaleNormal="130" workbookViewId="0">
      <selection sqref="A1:F1"/>
    </sheetView>
  </sheetViews>
  <sheetFormatPr defaultColWidth="9.6640625" defaultRowHeight="14.4" x14ac:dyDescent="0.3"/>
  <cols>
    <col min="1" max="1" width="9" bestFit="1" customWidth="1"/>
    <col min="2" max="2" width="8.6640625" bestFit="1" customWidth="1"/>
    <col min="3" max="4" width="5.6640625" bestFit="1" customWidth="1"/>
    <col min="5" max="6" width="12.109375" bestFit="1" customWidth="1"/>
    <col min="7" max="7" width="11" bestFit="1" customWidth="1"/>
    <col min="8" max="8" width="11.6640625" bestFit="1" customWidth="1"/>
    <col min="9" max="9" width="12.21875" bestFit="1" customWidth="1"/>
  </cols>
  <sheetData>
    <row r="1" spans="1:9" ht="26.4" x14ac:dyDescent="0.3">
      <c r="A1" s="1" t="s">
        <v>8</v>
      </c>
      <c r="B1" s="1" t="s">
        <v>6</v>
      </c>
      <c r="C1" s="1" t="s">
        <v>7</v>
      </c>
      <c r="D1" s="16" t="s">
        <v>9</v>
      </c>
      <c r="E1" s="1" t="s">
        <v>5</v>
      </c>
      <c r="F1" s="1" t="s">
        <v>4</v>
      </c>
      <c r="G1" s="16" t="s">
        <v>10</v>
      </c>
      <c r="H1" s="16" t="s">
        <v>11</v>
      </c>
      <c r="I1" s="16" t="s">
        <v>12</v>
      </c>
    </row>
    <row r="2" spans="1:9" x14ac:dyDescent="0.3">
      <c r="A2" s="17">
        <v>46053</v>
      </c>
      <c r="B2" s="18">
        <v>14523.663182</v>
      </c>
      <c r="C2" s="18">
        <v>24.262</v>
      </c>
      <c r="D2" s="18">
        <v>16.268000000000001</v>
      </c>
      <c r="E2" s="18">
        <v>1.575</v>
      </c>
      <c r="F2" s="19">
        <f>B2/C2</f>
        <v>598.61772244662438</v>
      </c>
      <c r="G2" s="20">
        <f>F2/F3-1</f>
        <v>1.2813471864665082E-2</v>
      </c>
      <c r="H2" s="20" cm="1">
        <f t="array" ref="H2">PRODUCT(G2:G37+1)^(1/3)-1</f>
        <v>8.3782935988935048E-2</v>
      </c>
      <c r="I2" s="21">
        <f>AVERAGE(F2:F121)</f>
        <v>379.05846974583613</v>
      </c>
    </row>
    <row r="3" spans="1:9" x14ac:dyDescent="0.3">
      <c r="A3" s="17">
        <v>46022</v>
      </c>
      <c r="B3" s="18">
        <v>14205.751956</v>
      </c>
      <c r="C3" s="18">
        <v>24.035</v>
      </c>
      <c r="D3" s="18">
        <v>16.288</v>
      </c>
      <c r="E3" s="18">
        <v>1.593</v>
      </c>
      <c r="F3" s="19">
        <f t="shared" ref="F3:F66" si="0">B3/C3</f>
        <v>591.04439176201367</v>
      </c>
      <c r="G3" s="20">
        <f t="shared" ref="G3:G66" si="1">F3/F4-1</f>
        <v>1.6220210473699925E-2</v>
      </c>
      <c r="H3" s="20" cm="1">
        <f t="array" ref="H3">PRODUCT(G3:G38+1)^(1/3)-1</f>
        <v>8.0686656964247483E-2</v>
      </c>
      <c r="I3" s="21">
        <f t="shared" ref="I3:I66" si="2">AVERAGE(F3:F122)</f>
        <v>376.03621276501605</v>
      </c>
    </row>
    <row r="4" spans="1:9" x14ac:dyDescent="0.3">
      <c r="A4" s="17">
        <v>45991</v>
      </c>
      <c r="B4" s="18">
        <v>14091.841925999999</v>
      </c>
      <c r="C4" s="18">
        <v>24.228999999999999</v>
      </c>
      <c r="D4" s="18">
        <v>16.219000000000001</v>
      </c>
      <c r="E4" s="18">
        <v>1.581</v>
      </c>
      <c r="F4" s="19">
        <f t="shared" si="0"/>
        <v>581.61054628750674</v>
      </c>
      <c r="G4" s="20">
        <f t="shared" si="1"/>
        <v>2.5878647360498386E-2</v>
      </c>
      <c r="H4" s="20" cm="1">
        <f t="array" ref="H4">PRODUCT(G4:G39+1)^(1/3)-1</f>
        <v>7.8289176597793331E-2</v>
      </c>
      <c r="I4" s="21">
        <f t="shared" si="2"/>
        <v>373.08495543663861</v>
      </c>
    </row>
    <row r="5" spans="1:9" x14ac:dyDescent="0.3">
      <c r="A5" s="17">
        <v>45961</v>
      </c>
      <c r="B5" s="18">
        <v>14052.148407000001</v>
      </c>
      <c r="C5" s="18">
        <v>24.786000000000001</v>
      </c>
      <c r="D5" s="18">
        <v>16.024999999999999</v>
      </c>
      <c r="E5" s="18">
        <v>1.579</v>
      </c>
      <c r="F5" s="19">
        <f t="shared" si="0"/>
        <v>566.93893355119826</v>
      </c>
      <c r="G5" s="20">
        <f t="shared" si="1"/>
        <v>3.6874950696563769E-3</v>
      </c>
      <c r="H5" s="20" cm="1">
        <f t="array" ref="H5">PRODUCT(G5:G40+1)^(1/3)-1</f>
        <v>8.1256480116683072E-2</v>
      </c>
      <c r="I5" s="21">
        <f t="shared" si="2"/>
        <v>370.21407599325124</v>
      </c>
    </row>
    <row r="6" spans="1:9" x14ac:dyDescent="0.3">
      <c r="A6" s="17">
        <v>45930</v>
      </c>
      <c r="B6" s="18">
        <v>13776.273708999999</v>
      </c>
      <c r="C6" s="18">
        <v>24.388999999999999</v>
      </c>
      <c r="D6" s="18">
        <v>15.868</v>
      </c>
      <c r="E6" s="18">
        <v>1.617</v>
      </c>
      <c r="F6" s="19">
        <f t="shared" si="0"/>
        <v>564.856029726516</v>
      </c>
      <c r="G6" s="20">
        <f t="shared" si="1"/>
        <v>8.8274855534666852E-3</v>
      </c>
      <c r="H6" s="20" cm="1">
        <f t="array" ref="H6">PRODUCT(G6:G41+1)^(1/3)-1</f>
        <v>8.0794387613407181E-2</v>
      </c>
      <c r="I6" s="21">
        <f t="shared" si="2"/>
        <v>367.51161802851169</v>
      </c>
    </row>
    <row r="7" spans="1:9" x14ac:dyDescent="0.3">
      <c r="A7" s="17">
        <v>45900</v>
      </c>
      <c r="B7" s="18">
        <v>13347.215683</v>
      </c>
      <c r="C7" s="18">
        <v>23.838000000000001</v>
      </c>
      <c r="D7" s="18">
        <v>15.726000000000001</v>
      </c>
      <c r="E7" s="18">
        <v>1.657</v>
      </c>
      <c r="F7" s="19">
        <f t="shared" si="0"/>
        <v>559.91340225690078</v>
      </c>
      <c r="G7" s="20">
        <f t="shared" si="1"/>
        <v>1.9327514326172412E-2</v>
      </c>
      <c r="H7" s="20" cm="1">
        <f t="array" ref="H7">PRODUCT(G7:G42+1)^(1/3)-1</f>
        <v>7.8082531280895706E-2</v>
      </c>
      <c r="I7" s="21">
        <f t="shared" si="2"/>
        <v>364.81649770955198</v>
      </c>
    </row>
    <row r="8" spans="1:9" x14ac:dyDescent="0.3">
      <c r="A8" s="17">
        <v>45869</v>
      </c>
      <c r="B8" s="18">
        <v>13007.898926</v>
      </c>
      <c r="C8" s="18">
        <v>23.681000000000001</v>
      </c>
      <c r="D8" s="18">
        <v>15.589</v>
      </c>
      <c r="E8" s="18">
        <v>1.6850000000000001</v>
      </c>
      <c r="F8" s="19">
        <f t="shared" si="0"/>
        <v>549.29685933871031</v>
      </c>
      <c r="G8" s="20">
        <f t="shared" si="1"/>
        <v>-6.1606843635269026E-3</v>
      </c>
      <c r="H8" s="20" cm="1">
        <f t="array" ref="H8">PRODUCT(G8:G43+1)^(1/3)-1</f>
        <v>6.7261160886496363E-2</v>
      </c>
      <c r="I8" s="21">
        <f t="shared" si="2"/>
        <v>362.16997278374691</v>
      </c>
    </row>
    <row r="9" spans="1:9" x14ac:dyDescent="0.3">
      <c r="A9" s="17">
        <v>45838</v>
      </c>
      <c r="B9" s="18">
        <v>12842.580910999999</v>
      </c>
      <c r="C9" s="18">
        <v>23.236000000000001</v>
      </c>
      <c r="D9" s="18">
        <v>15.531000000000001</v>
      </c>
      <c r="E9" s="18">
        <v>1.716</v>
      </c>
      <c r="F9" s="19">
        <f t="shared" si="0"/>
        <v>552.70188117576174</v>
      </c>
      <c r="G9" s="20">
        <f t="shared" si="1"/>
        <v>8.4949779839473827E-3</v>
      </c>
      <c r="H9" s="20" cm="1">
        <f t="array" ref="H9">PRODUCT(G9:G44+1)^(1/3)-1</f>
        <v>6.5515577007442927E-2</v>
      </c>
      <c r="I9" s="21">
        <f t="shared" si="2"/>
        <v>359.6096128667624</v>
      </c>
    </row>
    <row r="10" spans="1:9" x14ac:dyDescent="0.3">
      <c r="A10" s="17">
        <v>45808</v>
      </c>
      <c r="B10" s="18">
        <v>12311.310745000001</v>
      </c>
      <c r="C10" s="18">
        <v>22.463999999999999</v>
      </c>
      <c r="D10" s="18">
        <v>15.526</v>
      </c>
      <c r="E10" s="18">
        <v>1.7749999999999999</v>
      </c>
      <c r="F10" s="19">
        <f t="shared" si="0"/>
        <v>548.0462404291311</v>
      </c>
      <c r="G10" s="20">
        <f t="shared" si="1"/>
        <v>7.7222680000788024E-4</v>
      </c>
      <c r="H10" s="20" cm="1">
        <f t="array" ref="H10">PRODUCT(G10:G45+1)^(1/3)-1</f>
        <v>6.0744542780809319E-2</v>
      </c>
      <c r="I10" s="21">
        <f t="shared" si="2"/>
        <v>357.0277154329429</v>
      </c>
    </row>
    <row r="11" spans="1:9" x14ac:dyDescent="0.3">
      <c r="A11" s="17">
        <v>45777</v>
      </c>
      <c r="B11" s="18">
        <v>11623.305625000001</v>
      </c>
      <c r="C11" s="18">
        <v>21.225000000000001</v>
      </c>
      <c r="D11" s="18">
        <v>15.664999999999999</v>
      </c>
      <c r="E11" s="18">
        <v>1.861</v>
      </c>
      <c r="F11" s="19">
        <f t="shared" si="0"/>
        <v>547.62335100117787</v>
      </c>
      <c r="G11" s="20">
        <f t="shared" si="1"/>
        <v>2.0390035142241913E-2</v>
      </c>
      <c r="H11" s="20" cm="1">
        <f t="array" ref="H11">PRODUCT(G11:G46+1)^(1/3)-1</f>
        <v>6.8842208542113204E-2</v>
      </c>
      <c r="I11" s="21">
        <f t="shared" si="2"/>
        <v>354.47144220928351</v>
      </c>
    </row>
    <row r="12" spans="1:9" x14ac:dyDescent="0.3">
      <c r="A12" s="17">
        <v>45747</v>
      </c>
      <c r="B12" s="18">
        <v>11520.918541999999</v>
      </c>
      <c r="C12" s="18">
        <v>21.466999999999999</v>
      </c>
      <c r="D12" s="18">
        <v>15.739000000000001</v>
      </c>
      <c r="E12" s="18">
        <v>1.831</v>
      </c>
      <c r="F12" s="19">
        <f t="shared" si="0"/>
        <v>536.68041840965202</v>
      </c>
      <c r="G12" s="20">
        <f t="shared" si="1"/>
        <v>1.6902177177459121E-2</v>
      </c>
      <c r="H12" s="20" cm="1">
        <f t="array" ref="H12">PRODUCT(G12:G47+1)^(1/3)-1</f>
        <v>5.2086550656300856E-2</v>
      </c>
      <c r="I12" s="21">
        <f t="shared" si="2"/>
        <v>351.95481544556407</v>
      </c>
    </row>
    <row r="13" spans="1:9" x14ac:dyDescent="0.3">
      <c r="A13" s="17">
        <v>45716</v>
      </c>
      <c r="B13" s="18">
        <v>12057.735537</v>
      </c>
      <c r="C13" s="18">
        <v>22.847000000000001</v>
      </c>
      <c r="D13" s="18">
        <v>15.641999999999999</v>
      </c>
      <c r="E13" s="18">
        <v>1.722</v>
      </c>
      <c r="F13" s="19">
        <f t="shared" si="0"/>
        <v>527.76012329846367</v>
      </c>
      <c r="G13" s="20">
        <f t="shared" si="1"/>
        <v>2.3003602061836714E-2</v>
      </c>
      <c r="H13" s="20" cm="1">
        <f t="array" ref="H13">PRODUCT(G13:G48+1)^(1/3)-1</f>
        <v>5.6759925022026758E-2</v>
      </c>
      <c r="I13" s="21">
        <f t="shared" si="2"/>
        <v>349.49274653030494</v>
      </c>
    </row>
    <row r="14" spans="1:9" x14ac:dyDescent="0.3">
      <c r="A14" s="17">
        <v>45688</v>
      </c>
      <c r="B14" s="18">
        <v>12145.146701</v>
      </c>
      <c r="C14" s="18">
        <v>23.542000000000002</v>
      </c>
      <c r="D14" s="18">
        <v>15.635</v>
      </c>
      <c r="E14" s="18">
        <v>1.6859999999999999</v>
      </c>
      <c r="F14" s="19">
        <f t="shared" si="0"/>
        <v>515.89273218078324</v>
      </c>
      <c r="G14" s="20">
        <f t="shared" si="1"/>
        <v>1.3036611869218451E-2</v>
      </c>
      <c r="H14" s="20" cm="1">
        <f t="array" ref="H14">PRODUCT(G14:G49+1)^(1/3)-1</f>
        <v>0.10044769862324077</v>
      </c>
      <c r="I14" s="21">
        <f t="shared" si="2"/>
        <v>347.18924637716367</v>
      </c>
    </row>
    <row r="15" spans="1:9" x14ac:dyDescent="0.3">
      <c r="A15" s="17">
        <v>45657</v>
      </c>
      <c r="B15" s="18">
        <v>11731.170265000001</v>
      </c>
      <c r="C15" s="18">
        <v>23.036000000000001</v>
      </c>
      <c r="D15" s="18">
        <v>15.49</v>
      </c>
      <c r="E15" s="18">
        <v>1.734</v>
      </c>
      <c r="F15" s="19">
        <f t="shared" si="0"/>
        <v>509.25378820107659</v>
      </c>
      <c r="G15" s="20">
        <f t="shared" si="1"/>
        <v>-4.58283220075828E-3</v>
      </c>
      <c r="H15" s="20" cm="1">
        <f t="array" ref="H15">PRODUCT(G15:G50+1)^(1/3)-1</f>
        <v>7.6030639380028742E-2</v>
      </c>
      <c r="I15" s="21">
        <f t="shared" si="2"/>
        <v>344.96973908218507</v>
      </c>
    </row>
    <row r="16" spans="1:9" x14ac:dyDescent="0.3">
      <c r="A16" s="17">
        <v>45626</v>
      </c>
      <c r="B16" s="18">
        <v>12045.071732</v>
      </c>
      <c r="C16" s="18">
        <v>23.544</v>
      </c>
      <c r="D16" s="18">
        <v>15.406000000000001</v>
      </c>
      <c r="E16" s="18">
        <v>1.7010000000000001</v>
      </c>
      <c r="F16" s="19">
        <f t="shared" si="0"/>
        <v>511.59835762827049</v>
      </c>
      <c r="G16" s="20">
        <f t="shared" si="1"/>
        <v>-7.2428938614753635E-3</v>
      </c>
      <c r="H16" s="20" cm="1">
        <f t="array" ref="H16">PRODUCT(G16:G51+1)^(1/3)-1</f>
        <v>9.2819156865052044E-2</v>
      </c>
      <c r="I16" s="21">
        <f t="shared" si="2"/>
        <v>342.8245690997943</v>
      </c>
    </row>
    <row r="17" spans="1:9" x14ac:dyDescent="0.3">
      <c r="A17" s="17">
        <v>45596</v>
      </c>
      <c r="B17" s="18">
        <v>11516.613707</v>
      </c>
      <c r="C17" s="18">
        <v>22.347999999999999</v>
      </c>
      <c r="D17" s="18">
        <v>15.430999999999999</v>
      </c>
      <c r="E17" s="18">
        <v>1.7809999999999999</v>
      </c>
      <c r="F17" s="19">
        <f t="shared" si="0"/>
        <v>515.33084423662081</v>
      </c>
      <c r="G17" s="20">
        <f t="shared" si="1"/>
        <v>-6.0651636307788026E-3</v>
      </c>
      <c r="H17" s="20" cm="1">
        <f t="array" ref="H17">PRODUCT(G17:G52+1)^(1/3)-1</f>
        <v>8.7409524315570808E-2</v>
      </c>
      <c r="I17" s="21">
        <f t="shared" si="2"/>
        <v>340.67099237417165</v>
      </c>
    </row>
    <row r="18" spans="1:9" x14ac:dyDescent="0.3">
      <c r="A18" s="17">
        <v>45565</v>
      </c>
      <c r="B18" s="18">
        <v>11749.691392999999</v>
      </c>
      <c r="C18" s="18">
        <v>22.661999999999999</v>
      </c>
      <c r="D18" s="18">
        <v>15.317</v>
      </c>
      <c r="E18" s="18">
        <v>1.768</v>
      </c>
      <c r="F18" s="19">
        <f t="shared" si="0"/>
        <v>518.47548287882796</v>
      </c>
      <c r="G18" s="20">
        <f t="shared" si="1"/>
        <v>3.2607560053232731E-3</v>
      </c>
      <c r="H18" s="20" cm="1">
        <f t="array" ref="H18">PRODUCT(G18:G53+1)^(1/3)-1</f>
        <v>0.10981241955193299</v>
      </c>
      <c r="I18" s="21">
        <f t="shared" si="2"/>
        <v>338.45947316312959</v>
      </c>
    </row>
    <row r="19" spans="1:9" x14ac:dyDescent="0.3">
      <c r="A19" s="17">
        <v>45535</v>
      </c>
      <c r="B19" s="18">
        <v>11538.378269999999</v>
      </c>
      <c r="C19" s="18">
        <v>22.327000000000002</v>
      </c>
      <c r="D19" s="18">
        <v>15.377000000000001</v>
      </c>
      <c r="E19" s="18">
        <v>1.778</v>
      </c>
      <c r="F19" s="19">
        <f t="shared" si="0"/>
        <v>516.79035562323634</v>
      </c>
      <c r="G19" s="20">
        <f t="shared" si="1"/>
        <v>1.7373887839372548E-2</v>
      </c>
      <c r="H19" s="20" cm="1">
        <f t="array" ref="H19">PRODUCT(G19:G54+1)^(1/3)-1</f>
        <v>9.3048023755862408E-2</v>
      </c>
      <c r="I19" s="21">
        <f t="shared" si="2"/>
        <v>336.22889458274767</v>
      </c>
    </row>
    <row r="20" spans="1:9" x14ac:dyDescent="0.3">
      <c r="A20" s="17">
        <v>45504</v>
      </c>
      <c r="B20" s="18">
        <v>11241.266073999999</v>
      </c>
      <c r="C20" s="18">
        <v>22.13</v>
      </c>
      <c r="D20" s="18">
        <v>15.494</v>
      </c>
      <c r="E20" s="18">
        <v>1.7969999999999999</v>
      </c>
      <c r="F20" s="19">
        <f t="shared" si="0"/>
        <v>507.9650281970176</v>
      </c>
      <c r="G20" s="20">
        <f t="shared" si="1"/>
        <v>1.4771426449041503E-2</v>
      </c>
      <c r="H20" s="20" cm="1">
        <f t="array" ref="H20">PRODUCT(G20:G55+1)^(1/3)-1</f>
        <v>0.1411283974201778</v>
      </c>
      <c r="I20" s="21">
        <f t="shared" si="2"/>
        <v>334.03681227081813</v>
      </c>
    </row>
    <row r="21" spans="1:9" x14ac:dyDescent="0.3">
      <c r="A21" s="17">
        <v>45473</v>
      </c>
      <c r="B21" s="18">
        <v>11046.598228999999</v>
      </c>
      <c r="C21" s="18">
        <v>22.068000000000001</v>
      </c>
      <c r="D21" s="18">
        <v>15.5</v>
      </c>
      <c r="E21" s="18">
        <v>1.798</v>
      </c>
      <c r="F21" s="19">
        <f t="shared" si="0"/>
        <v>500.57088222765992</v>
      </c>
      <c r="G21" s="20">
        <f t="shared" si="1"/>
        <v>3.5178010060916698E-3</v>
      </c>
      <c r="H21" s="20" cm="1">
        <f t="array" ref="H21">PRODUCT(G21:G56+1)^(1/3)-1</f>
        <v>0.2023935350131647</v>
      </c>
      <c r="I21" s="21">
        <f t="shared" si="2"/>
        <v>331.89668377058973</v>
      </c>
    </row>
    <row r="22" spans="1:9" x14ac:dyDescent="0.3">
      <c r="A22" s="17">
        <v>45443</v>
      </c>
      <c r="B22" s="18">
        <v>10826.305639</v>
      </c>
      <c r="C22" s="18">
        <v>21.704000000000001</v>
      </c>
      <c r="D22" s="18">
        <v>15.294</v>
      </c>
      <c r="E22" s="18">
        <v>1.8460000000000001</v>
      </c>
      <c r="F22" s="19">
        <f t="shared" si="0"/>
        <v>498.8161462863988</v>
      </c>
      <c r="G22" s="20">
        <f t="shared" si="1"/>
        <v>2.2511370694211941E-2</v>
      </c>
      <c r="H22" s="20" cm="1">
        <f t="array" ref="H22">PRODUCT(G22:G57+1)^(1/3)-1</f>
        <v>0.20692514589070576</v>
      </c>
      <c r="I22" s="21">
        <f t="shared" si="2"/>
        <v>329.83203281368981</v>
      </c>
    </row>
    <row r="23" spans="1:9" x14ac:dyDescent="0.3">
      <c r="A23" s="17">
        <v>45412</v>
      </c>
      <c r="B23" s="18">
        <v>10363.552441</v>
      </c>
      <c r="C23" s="18">
        <v>21.244</v>
      </c>
      <c r="D23" s="18">
        <v>15.33</v>
      </c>
      <c r="E23" s="18">
        <v>1.885</v>
      </c>
      <c r="F23" s="19">
        <f t="shared" si="0"/>
        <v>487.83432691583505</v>
      </c>
      <c r="G23" s="20">
        <f t="shared" si="1"/>
        <v>-4.3303933970847419E-3</v>
      </c>
      <c r="H23" s="20" cm="1">
        <f t="array" ref="H23">PRODUCT(G23:G58+1)^(1/3)-1</f>
        <v>0.20372739285814534</v>
      </c>
      <c r="I23" s="21">
        <f t="shared" si="2"/>
        <v>327.7760460702051</v>
      </c>
    </row>
    <row r="24" spans="1:9" x14ac:dyDescent="0.3">
      <c r="A24" s="17">
        <v>45382</v>
      </c>
      <c r="B24" s="18">
        <v>10763.354051</v>
      </c>
      <c r="C24" s="18">
        <v>21.968</v>
      </c>
      <c r="D24" s="18">
        <v>15.305</v>
      </c>
      <c r="E24" s="18">
        <v>1.8180000000000001</v>
      </c>
      <c r="F24" s="19">
        <f t="shared" si="0"/>
        <v>489.95602926984708</v>
      </c>
      <c r="G24" s="20">
        <f t="shared" si="1"/>
        <v>1.8274667765824315E-2</v>
      </c>
      <c r="H24" s="20" cm="1">
        <f t="array" ref="H24">PRODUCT(G24:G59+1)^(1/3)-1</f>
        <v>0.20986980523346799</v>
      </c>
      <c r="I24" s="21">
        <f t="shared" si="2"/>
        <v>325.80172487882828</v>
      </c>
    </row>
    <row r="25" spans="1:9" x14ac:dyDescent="0.3">
      <c r="A25" s="17">
        <v>45351</v>
      </c>
      <c r="B25" s="18">
        <v>10428.244322</v>
      </c>
      <c r="C25" s="18">
        <v>21.672999999999998</v>
      </c>
      <c r="D25" s="18">
        <v>15.079000000000001</v>
      </c>
      <c r="E25" s="18">
        <v>1.859</v>
      </c>
      <c r="F25" s="19">
        <f t="shared" si="0"/>
        <v>481.16293646472576</v>
      </c>
      <c r="G25" s="20">
        <f t="shared" si="1"/>
        <v>2.0369421285516554E-2</v>
      </c>
      <c r="H25" s="20" cm="1">
        <f t="array" ref="H25">PRODUCT(G25:G60+1)^(1/3)-1</f>
        <v>0.13106262716129735</v>
      </c>
      <c r="I25" s="21">
        <f t="shared" si="2"/>
        <v>323.80493638786686</v>
      </c>
    </row>
    <row r="26" spans="1:9" x14ac:dyDescent="0.3">
      <c r="A26" s="17">
        <v>45322</v>
      </c>
      <c r="B26" s="18">
        <v>10004.094090000001</v>
      </c>
      <c r="C26" s="18">
        <v>21.215</v>
      </c>
      <c r="D26" s="18">
        <v>14.817</v>
      </c>
      <c r="E26" s="18">
        <v>1.9</v>
      </c>
      <c r="F26" s="19">
        <f t="shared" si="0"/>
        <v>471.55758142823476</v>
      </c>
      <c r="G26" s="20">
        <f t="shared" si="1"/>
        <v>-1.313853548531374E-2</v>
      </c>
      <c r="H26" s="20" cm="1">
        <f t="array" ref="H26">PRODUCT(G26:G61+1)^(1/3)-1</f>
        <v>0.13300097742581429</v>
      </c>
      <c r="I26" s="21">
        <f t="shared" si="2"/>
        <v>321.83054393961652</v>
      </c>
    </row>
    <row r="27" spans="1:9" x14ac:dyDescent="0.3">
      <c r="A27" s="17">
        <v>45291</v>
      </c>
      <c r="B27" s="18">
        <v>9885.4637610000009</v>
      </c>
      <c r="C27" s="18">
        <v>20.687999999999999</v>
      </c>
      <c r="D27" s="18">
        <v>14.914</v>
      </c>
      <c r="E27" s="18">
        <v>1.929</v>
      </c>
      <c r="F27" s="19">
        <f t="shared" si="0"/>
        <v>477.8356419663574</v>
      </c>
      <c r="G27" s="20">
        <f t="shared" si="1"/>
        <v>1.557475297705424E-2</v>
      </c>
      <c r="H27" s="20" cm="1">
        <f t="array" ref="H27">PRODUCT(G27:G62+1)^(1/3)-1</f>
        <v>0.13422422732542194</v>
      </c>
      <c r="I27" s="21">
        <f t="shared" si="2"/>
        <v>319.90337875261667</v>
      </c>
    </row>
    <row r="28" spans="1:9" x14ac:dyDescent="0.3">
      <c r="A28" s="17">
        <v>45260</v>
      </c>
      <c r="B28" s="18">
        <v>9422.8557509999991</v>
      </c>
      <c r="C28" s="18">
        <v>20.027000000000001</v>
      </c>
      <c r="D28" s="18">
        <v>14.875999999999999</v>
      </c>
      <c r="E28" s="18">
        <v>1.992</v>
      </c>
      <c r="F28" s="19">
        <f t="shared" si="0"/>
        <v>470.50760228691263</v>
      </c>
      <c r="G28" s="20">
        <f t="shared" si="1"/>
        <v>2.2972492348013684E-2</v>
      </c>
      <c r="H28" s="20" cm="1">
        <f t="array" ref="H28">PRODUCT(G28:G63+1)^(1/3)-1</f>
        <v>0.14412277862585565</v>
      </c>
      <c r="I28" s="21">
        <f t="shared" si="2"/>
        <v>317.93221526456057</v>
      </c>
    </row>
    <row r="29" spans="1:9" x14ac:dyDescent="0.3">
      <c r="A29" s="17">
        <v>45230</v>
      </c>
      <c r="B29" s="18">
        <v>8615.1660620000002</v>
      </c>
      <c r="C29" s="18">
        <v>18.731000000000002</v>
      </c>
      <c r="D29" s="18">
        <v>14.994999999999999</v>
      </c>
      <c r="E29" s="18">
        <v>2.1230000000000002</v>
      </c>
      <c r="F29" s="19">
        <f t="shared" si="0"/>
        <v>459.94159745875817</v>
      </c>
      <c r="G29" s="20">
        <f t="shared" si="1"/>
        <v>8.4632907528952028E-3</v>
      </c>
      <c r="H29" s="20" cm="1">
        <f t="array" ref="H29">PRODUCT(G29:G64+1)^(1/3)-1</f>
        <v>0.18196125300381594</v>
      </c>
      <c r="I29" s="21">
        <f t="shared" si="2"/>
        <v>316.02269944944487</v>
      </c>
    </row>
    <row r="30" spans="1:9" x14ac:dyDescent="0.3">
      <c r="A30" s="17">
        <v>45199</v>
      </c>
      <c r="B30" s="18">
        <v>8872.6123389999993</v>
      </c>
      <c r="C30" s="18">
        <v>19.454000000000001</v>
      </c>
      <c r="D30" s="18">
        <v>14.846</v>
      </c>
      <c r="E30" s="18">
        <v>2.0579999999999998</v>
      </c>
      <c r="F30" s="19">
        <f t="shared" si="0"/>
        <v>456.08164588259478</v>
      </c>
      <c r="G30" s="20">
        <f t="shared" si="1"/>
        <v>-5.3636454708302361E-3</v>
      </c>
      <c r="H30" s="20" cm="1">
        <f t="array" ref="H30">PRODUCT(G30:G65+1)^(1/3)-1</f>
        <v>0.11851055849672631</v>
      </c>
      <c r="I30" s="21">
        <f t="shared" si="2"/>
        <v>314.32098720510083</v>
      </c>
    </row>
    <row r="31" spans="1:9" x14ac:dyDescent="0.3">
      <c r="A31" s="17">
        <v>45169</v>
      </c>
      <c r="B31" s="18">
        <v>9272.6180789999999</v>
      </c>
      <c r="C31" s="18">
        <v>20.222000000000001</v>
      </c>
      <c r="D31" s="18">
        <v>14.759</v>
      </c>
      <c r="E31" s="18">
        <v>1.982</v>
      </c>
      <c r="F31" s="19">
        <f t="shared" si="0"/>
        <v>458.54109776481056</v>
      </c>
      <c r="G31" s="20">
        <f t="shared" si="1"/>
        <v>1.5042527302400188E-3</v>
      </c>
      <c r="H31" s="20" cm="1">
        <f t="array" ref="H31">PRODUCT(G31:G66+1)^(1/3)-1</f>
        <v>0.1074807890521805</v>
      </c>
      <c r="I31" s="21">
        <f t="shared" si="2"/>
        <v>312.57116354208722</v>
      </c>
    </row>
    <row r="32" spans="1:9" x14ac:dyDescent="0.3">
      <c r="A32" s="17">
        <v>45138</v>
      </c>
      <c r="B32" s="18">
        <v>9499.5210160000006</v>
      </c>
      <c r="C32" s="18">
        <v>20.748000000000001</v>
      </c>
      <c r="D32" s="18">
        <v>14.792999999999999</v>
      </c>
      <c r="E32" s="18">
        <v>1.962</v>
      </c>
      <c r="F32" s="19">
        <f t="shared" si="0"/>
        <v>457.8523720840563</v>
      </c>
      <c r="G32" s="20">
        <f t="shared" si="1"/>
        <v>1.0029554364247684E-2</v>
      </c>
      <c r="H32" s="20" cm="1">
        <f t="array" ref="H32">PRODUCT(G32:G67+1)^(1/3)-1</f>
        <v>0.13104934952020386</v>
      </c>
      <c r="I32" s="21">
        <f t="shared" si="2"/>
        <v>310.70316073648343</v>
      </c>
    </row>
    <row r="33" spans="1:9" x14ac:dyDescent="0.3">
      <c r="A33" s="17">
        <v>45107</v>
      </c>
      <c r="B33" s="18">
        <v>9190.7774420000005</v>
      </c>
      <c r="C33" s="18">
        <v>20.274999999999999</v>
      </c>
      <c r="D33" s="18">
        <v>14.782999999999999</v>
      </c>
      <c r="E33" s="18">
        <v>2.0009999999999999</v>
      </c>
      <c r="F33" s="19">
        <f t="shared" si="0"/>
        <v>453.30591575832312</v>
      </c>
      <c r="G33" s="20">
        <f t="shared" si="1"/>
        <v>1.9488293657778932E-3</v>
      </c>
      <c r="H33" s="20" cm="1">
        <f t="array" ref="H33">PRODUCT(G33:G68+1)^(1/3)-1</f>
        <v>0.12792120117379802</v>
      </c>
      <c r="I33" s="21">
        <f t="shared" si="2"/>
        <v>308.80467334011763</v>
      </c>
    </row>
    <row r="34" spans="1:9" x14ac:dyDescent="0.3">
      <c r="A34" s="17">
        <v>45077</v>
      </c>
      <c r="B34" s="18">
        <v>8666.6383229999992</v>
      </c>
      <c r="C34" s="18">
        <v>19.155999999999999</v>
      </c>
      <c r="D34" s="18">
        <v>14.73</v>
      </c>
      <c r="E34" s="18">
        <v>2.109</v>
      </c>
      <c r="F34" s="19">
        <f t="shared" si="0"/>
        <v>452.42421815619127</v>
      </c>
      <c r="G34" s="20">
        <f t="shared" si="1"/>
        <v>2.2134871301653369E-3</v>
      </c>
      <c r="H34" s="20" cm="1">
        <f t="array" ref="H34">PRODUCT(G34:G69+1)^(1/3)-1</f>
        <v>0.11148069426529283</v>
      </c>
      <c r="I34" s="21">
        <f t="shared" si="2"/>
        <v>306.9271638867304</v>
      </c>
    </row>
    <row r="35" spans="1:9" x14ac:dyDescent="0.3">
      <c r="A35" s="17">
        <v>45046</v>
      </c>
      <c r="B35" s="18">
        <v>8754.0334980000007</v>
      </c>
      <c r="C35" s="18">
        <v>19.391999999999999</v>
      </c>
      <c r="D35" s="18">
        <v>14.715999999999999</v>
      </c>
      <c r="E35" s="18">
        <v>2.0819999999999999</v>
      </c>
      <c r="F35" s="19">
        <f t="shared" si="0"/>
        <v>451.42499474009907</v>
      </c>
      <c r="G35" s="20">
        <f t="shared" si="1"/>
        <v>4.2542675210925918E-3</v>
      </c>
      <c r="H35" s="20" cm="1">
        <f t="array" ref="H35">PRODUCT(G35:G70+1)^(1/3)-1</f>
        <v>9.3175434020696279E-2</v>
      </c>
      <c r="I35" s="21">
        <f t="shared" si="2"/>
        <v>305.07167554456117</v>
      </c>
    </row>
    <row r="36" spans="1:9" x14ac:dyDescent="0.3">
      <c r="A36" s="17">
        <v>45016</v>
      </c>
      <c r="B36" s="18">
        <v>8603.2225639999997</v>
      </c>
      <c r="C36" s="18">
        <v>19.138999999999999</v>
      </c>
      <c r="D36" s="18">
        <v>14.731</v>
      </c>
      <c r="E36" s="18">
        <v>2.1080000000000001</v>
      </c>
      <c r="F36" s="19">
        <f t="shared" si="0"/>
        <v>449.51264768274206</v>
      </c>
      <c r="G36" s="20">
        <f t="shared" si="1"/>
        <v>-1.8224115572498367E-2</v>
      </c>
      <c r="H36" s="20" cm="1">
        <f t="array" ref="H36">PRODUCT(G36:G71+1)^(1/3)-1</f>
        <v>9.0050143178545206E-2</v>
      </c>
      <c r="I36" s="21">
        <f t="shared" si="2"/>
        <v>303.23344323476744</v>
      </c>
    </row>
    <row r="37" spans="1:9" x14ac:dyDescent="0.3">
      <c r="A37" s="17">
        <v>44985</v>
      </c>
      <c r="B37" s="18">
        <v>8345.3537199999992</v>
      </c>
      <c r="C37" s="18">
        <v>18.227</v>
      </c>
      <c r="D37" s="18">
        <v>15.183</v>
      </c>
      <c r="E37" s="18">
        <v>2.1459999999999999</v>
      </c>
      <c r="F37" s="19">
        <f t="shared" si="0"/>
        <v>457.8566807483403</v>
      </c>
      <c r="G37" s="20">
        <f t="shared" si="1"/>
        <v>-2.6340934677996808E-2</v>
      </c>
      <c r="H37" s="20" cm="1">
        <f t="array" ref="H37">PRODUCT(G37:G72+1)^(1/3)-1</f>
        <v>0.13317870300676771</v>
      </c>
      <c r="I37" s="21">
        <f t="shared" si="2"/>
        <v>301.49224842293802</v>
      </c>
    </row>
    <row r="38" spans="1:9" x14ac:dyDescent="0.3">
      <c r="A38" s="17">
        <v>44957</v>
      </c>
      <c r="B38" s="18">
        <v>8550.9047050000008</v>
      </c>
      <c r="C38" s="18">
        <v>18.184000000000001</v>
      </c>
      <c r="D38" s="18">
        <v>15.455</v>
      </c>
      <c r="E38" s="18">
        <v>2.09</v>
      </c>
      <c r="F38" s="19">
        <f t="shared" si="0"/>
        <v>470.24332957545096</v>
      </c>
      <c r="G38" s="20">
        <f t="shared" si="1"/>
        <v>4.1576726934604569E-3</v>
      </c>
      <c r="H38" s="20" cm="1">
        <f t="array" ref="H38">PRODUCT(G38:G73+1)^(1/3)-1</f>
        <v>0.11014120782146675</v>
      </c>
      <c r="I38" s="21">
        <f t="shared" si="2"/>
        <v>299.63563671189274</v>
      </c>
    </row>
    <row r="39" spans="1:9" x14ac:dyDescent="0.3">
      <c r="A39" s="17">
        <v>44926</v>
      </c>
      <c r="B39" s="18">
        <v>7985.8569200000002</v>
      </c>
      <c r="C39" s="18">
        <v>17.053000000000001</v>
      </c>
      <c r="D39" s="18">
        <v>15.637</v>
      </c>
      <c r="E39" s="18">
        <v>2.2109999999999999</v>
      </c>
      <c r="F39" s="19">
        <f t="shared" si="0"/>
        <v>468.29630680818622</v>
      </c>
      <c r="G39" s="20">
        <f t="shared" si="1"/>
        <v>9.4718150346000396E-3</v>
      </c>
      <c r="H39" s="20" cm="1">
        <f t="array" ref="H39">PRODUCT(G39:G74+1)^(1/3)-1</f>
        <v>8.4995029966667079E-2</v>
      </c>
      <c r="I39" s="21">
        <f t="shared" si="2"/>
        <v>297.64972560735345</v>
      </c>
    </row>
    <row r="40" spans="1:9" x14ac:dyDescent="0.3">
      <c r="A40" s="17">
        <v>44895</v>
      </c>
      <c r="B40" s="18">
        <v>8340.0357280000007</v>
      </c>
      <c r="C40" s="18">
        <v>17.978000000000002</v>
      </c>
      <c r="D40" s="18">
        <v>15.815</v>
      </c>
      <c r="E40" s="18">
        <v>2.0790000000000002</v>
      </c>
      <c r="F40" s="19">
        <f t="shared" si="0"/>
        <v>463.90230993436421</v>
      </c>
      <c r="G40" s="20">
        <f t="shared" si="1"/>
        <v>3.4371205748545242E-2</v>
      </c>
      <c r="H40" s="20" cm="1">
        <f t="array" ref="H40">PRODUCT(G40:G75+1)^(1/3)-1</f>
        <v>9.2285634910032499E-2</v>
      </c>
      <c r="I40" s="21">
        <f t="shared" si="2"/>
        <v>295.67430016931996</v>
      </c>
    </row>
    <row r="41" spans="1:9" x14ac:dyDescent="0.3">
      <c r="A41" s="17">
        <v>44865</v>
      </c>
      <c r="B41" s="18">
        <v>7797.8480239999999</v>
      </c>
      <c r="C41" s="18">
        <v>17.387</v>
      </c>
      <c r="D41" s="18">
        <v>15.795999999999999</v>
      </c>
      <c r="E41" s="18">
        <v>2.1709999999999998</v>
      </c>
      <c r="F41" s="19">
        <f t="shared" si="0"/>
        <v>448.48726197733936</v>
      </c>
      <c r="G41" s="20">
        <f t="shared" si="1"/>
        <v>2.4012185212567427E-3</v>
      </c>
      <c r="H41" s="20" cm="1">
        <f t="array" ref="H41">PRODUCT(G41:G76+1)^(1/3)-1</f>
        <v>8.9985408564524194E-2</v>
      </c>
      <c r="I41" s="21">
        <f t="shared" si="2"/>
        <v>293.72165948877063</v>
      </c>
    </row>
    <row r="42" spans="1:9" x14ac:dyDescent="0.3">
      <c r="A42" s="17">
        <v>44834</v>
      </c>
      <c r="B42" s="18">
        <v>7275.3815860000004</v>
      </c>
      <c r="C42" s="18">
        <v>16.260999999999999</v>
      </c>
      <c r="D42" s="18">
        <v>15.79</v>
      </c>
      <c r="E42" s="18">
        <v>2.3159999999999998</v>
      </c>
      <c r="F42" s="19">
        <f t="shared" si="0"/>
        <v>447.41292577332274</v>
      </c>
      <c r="G42" s="20">
        <f t="shared" si="1"/>
        <v>1.2526780646651137E-3</v>
      </c>
      <c r="H42" s="20" cm="1">
        <f t="array" ref="H42">PRODUCT(G42:G77+1)^(1/3)-1</f>
        <v>9.1040534315073529E-2</v>
      </c>
      <c r="I42" s="21">
        <f t="shared" si="2"/>
        <v>291.88237858206338</v>
      </c>
    </row>
    <row r="43" spans="1:9" x14ac:dyDescent="0.3">
      <c r="A43" s="17">
        <v>44804</v>
      </c>
      <c r="B43" s="18">
        <v>8021.0142690000002</v>
      </c>
      <c r="C43" s="18">
        <v>17.95</v>
      </c>
      <c r="D43" s="18">
        <v>15.567</v>
      </c>
      <c r="E43" s="18">
        <v>2.121</v>
      </c>
      <c r="F43" s="19">
        <f t="shared" si="0"/>
        <v>446.85316261838443</v>
      </c>
      <c r="G43" s="20">
        <f t="shared" si="1"/>
        <v>-1.1060245450177586E-2</v>
      </c>
      <c r="H43" s="20" cm="1">
        <f t="array" ref="H43">PRODUCT(G43:G78+1)^(1/3)-1</f>
        <v>9.8267338816168337E-2</v>
      </c>
      <c r="I43" s="21">
        <f t="shared" si="2"/>
        <v>290.0476504069087</v>
      </c>
    </row>
    <row r="44" spans="1:9" x14ac:dyDescent="0.3">
      <c r="A44" s="17">
        <v>44773</v>
      </c>
      <c r="B44" s="18">
        <v>8370.9868600000009</v>
      </c>
      <c r="C44" s="18">
        <v>18.526</v>
      </c>
      <c r="D44" s="18">
        <v>15.662000000000001</v>
      </c>
      <c r="E44" s="18">
        <v>2.0539999999999998</v>
      </c>
      <c r="F44" s="19">
        <f t="shared" si="0"/>
        <v>451.85074273993314</v>
      </c>
      <c r="G44" s="20">
        <f t="shared" si="1"/>
        <v>-1.1029204056802966E-2</v>
      </c>
      <c r="H44" s="20" cm="1">
        <f t="array" ref="H44">PRODUCT(G44:G79+1)^(1/3)-1</f>
        <v>9.4778657690955281E-2</v>
      </c>
      <c r="I44" s="21">
        <f t="shared" si="2"/>
        <v>288.20083383265506</v>
      </c>
    </row>
    <row r="45" spans="1:9" x14ac:dyDescent="0.3">
      <c r="A45" s="17">
        <v>44742</v>
      </c>
      <c r="B45" s="18">
        <v>7755.2487279999996</v>
      </c>
      <c r="C45" s="18">
        <v>16.974</v>
      </c>
      <c r="D45" s="18">
        <v>15.897</v>
      </c>
      <c r="E45" s="18">
        <v>2.2050000000000001</v>
      </c>
      <c r="F45" s="19">
        <f t="shared" si="0"/>
        <v>456.88987439613521</v>
      </c>
      <c r="G45" s="20">
        <f t="shared" si="1"/>
        <v>-4.9915960913939905E-3</v>
      </c>
      <c r="H45" s="20" cm="1">
        <f t="array" ref="H45">PRODUCT(G45:G80+1)^(1/3)-1</f>
        <v>9.6838797457901471E-2</v>
      </c>
      <c r="I45" s="21">
        <f t="shared" si="2"/>
        <v>286.32969735899673</v>
      </c>
    </row>
    <row r="46" spans="1:9" x14ac:dyDescent="0.3">
      <c r="A46" s="17">
        <v>44712</v>
      </c>
      <c r="B46" s="18">
        <v>8490.7329769999997</v>
      </c>
      <c r="C46" s="18">
        <v>18.491</v>
      </c>
      <c r="D46" s="18">
        <v>15.706</v>
      </c>
      <c r="E46" s="18">
        <v>2.0209999999999999</v>
      </c>
      <c r="F46" s="19">
        <f t="shared" si="0"/>
        <v>459.18192509869664</v>
      </c>
      <c r="G46" s="20">
        <f t="shared" si="1"/>
        <v>2.3867159551696382E-2</v>
      </c>
      <c r="H46" s="20" cm="1">
        <f t="array" ref="H46">PRODUCT(G46:G81+1)^(1/3)-1</f>
        <v>0.10430679418401012</v>
      </c>
      <c r="I46" s="21">
        <f t="shared" si="2"/>
        <v>284.41935391007678</v>
      </c>
    </row>
    <row r="47" spans="1:9" x14ac:dyDescent="0.3">
      <c r="A47" s="17">
        <v>44681</v>
      </c>
      <c r="B47" s="18">
        <v>8484.3073420000001</v>
      </c>
      <c r="C47" s="18">
        <v>18.917999999999999</v>
      </c>
      <c r="D47" s="18">
        <v>15.672000000000001</v>
      </c>
      <c r="E47" s="18">
        <v>1.974</v>
      </c>
      <c r="F47" s="19">
        <f t="shared" si="0"/>
        <v>448.47802843852418</v>
      </c>
      <c r="G47" s="20">
        <f t="shared" si="1"/>
        <v>-2.684990802700804E-2</v>
      </c>
      <c r="H47" s="20" cm="1">
        <f t="array" ref="H47">PRODUCT(G47:G82+1)^(1/3)-1</f>
        <v>8.1981458855005407E-2</v>
      </c>
      <c r="I47" s="21">
        <f t="shared" si="2"/>
        <v>282.44943899788018</v>
      </c>
    </row>
    <row r="48" spans="1:9" x14ac:dyDescent="0.3">
      <c r="A48" s="17">
        <v>44651</v>
      </c>
      <c r="B48" s="18">
        <v>9252.9836140000007</v>
      </c>
      <c r="C48" s="18">
        <v>20.077999999999999</v>
      </c>
      <c r="D48" s="18">
        <v>15.742000000000001</v>
      </c>
      <c r="E48" s="18">
        <v>1.839</v>
      </c>
      <c r="F48" s="19">
        <f t="shared" si="0"/>
        <v>460.85185845203711</v>
      </c>
      <c r="G48" s="20">
        <f t="shared" si="1"/>
        <v>3.0513716602647456E-2</v>
      </c>
      <c r="H48" s="20" cm="1">
        <f t="array" ref="H48">PRODUCT(G48:G83+1)^(1/3)-1</f>
        <v>0.10459792221316055</v>
      </c>
      <c r="I48" s="21">
        <f t="shared" si="2"/>
        <v>280.56802427460758</v>
      </c>
    </row>
    <row r="49" spans="1:9" x14ac:dyDescent="0.3">
      <c r="A49" s="17">
        <v>44620</v>
      </c>
      <c r="B49" s="18">
        <v>9005.8332809999993</v>
      </c>
      <c r="C49" s="18">
        <v>20.138000000000002</v>
      </c>
      <c r="D49" s="18">
        <v>15.226000000000001</v>
      </c>
      <c r="E49" s="18">
        <v>1.8680000000000001</v>
      </c>
      <c r="F49" s="19">
        <f t="shared" si="0"/>
        <v>447.20594304300323</v>
      </c>
      <c r="G49" s="20">
        <f t="shared" si="1"/>
        <v>0.15519786149767167</v>
      </c>
      <c r="H49" s="20" cm="1">
        <f t="array" ref="H49">PRODUCT(G49:G84+1)^(1/3)-1</f>
        <v>9.4576780604692434E-2</v>
      </c>
      <c r="I49" s="21">
        <f t="shared" si="2"/>
        <v>278.5779782939465</v>
      </c>
    </row>
    <row r="50" spans="1:9" x14ac:dyDescent="0.3">
      <c r="A50" s="17">
        <v>44592</v>
      </c>
      <c r="B50" s="18">
        <v>9239.5117740000005</v>
      </c>
      <c r="C50" s="18">
        <v>23.867000000000001</v>
      </c>
      <c r="D50" s="18">
        <v>13.888</v>
      </c>
      <c r="E50" s="18">
        <v>1.66</v>
      </c>
      <c r="F50" s="19">
        <f t="shared" si="0"/>
        <v>387.12497481878745</v>
      </c>
      <c r="G50" s="20">
        <f t="shared" si="1"/>
        <v>-5.2910906820233139E-2</v>
      </c>
      <c r="H50" s="20" cm="1">
        <f t="array" ref="H50">PRODUCT(G50:G85+1)^(1/3)-1</f>
        <v>4.3475556337505772E-2</v>
      </c>
      <c r="I50" s="21">
        <f t="shared" si="2"/>
        <v>276.71600639304324</v>
      </c>
    </row>
    <row r="51" spans="1:9" x14ac:dyDescent="0.3">
      <c r="A51" s="17">
        <v>44561</v>
      </c>
      <c r="B51" s="18">
        <v>9755.6944120000007</v>
      </c>
      <c r="C51" s="18">
        <v>23.867000000000001</v>
      </c>
      <c r="D51" s="18">
        <v>13.888</v>
      </c>
      <c r="E51" s="18">
        <v>1.66</v>
      </c>
      <c r="F51" s="19">
        <f t="shared" si="0"/>
        <v>408.75243692127208</v>
      </c>
      <c r="G51" s="20">
        <f t="shared" si="1"/>
        <v>4.2740187576979505E-2</v>
      </c>
      <c r="H51" s="20" cm="1">
        <f t="array" ref="H51">PRODUCT(G51:G86+1)^(1/3)-1</f>
        <v>6.701683999417174E-2</v>
      </c>
      <c r="I51" s="21">
        <f t="shared" si="2"/>
        <v>275.36789685925964</v>
      </c>
    </row>
    <row r="52" spans="1:9" x14ac:dyDescent="0.3">
      <c r="A52" s="17">
        <v>44530</v>
      </c>
      <c r="B52" s="18">
        <v>9355.8247090000004</v>
      </c>
      <c r="C52" s="18">
        <v>23.867000000000001</v>
      </c>
      <c r="D52" s="18">
        <v>13.888</v>
      </c>
      <c r="E52" s="18">
        <v>1.66</v>
      </c>
      <c r="F52" s="19">
        <f t="shared" si="0"/>
        <v>391.99835375204259</v>
      </c>
      <c r="G52" s="20">
        <f t="shared" si="1"/>
        <v>-2.1912961770599981E-2</v>
      </c>
      <c r="H52" s="20" cm="1">
        <f t="array" ref="H52">PRODUCT(G52:G87+1)^(1/3)-1</f>
        <v>5.4592120831624014E-2</v>
      </c>
      <c r="I52" s="21">
        <f t="shared" si="2"/>
        <v>273.82839517873583</v>
      </c>
    </row>
    <row r="53" spans="1:9" x14ac:dyDescent="0.3">
      <c r="A53" s="17">
        <v>44500</v>
      </c>
      <c r="B53" s="18">
        <v>9565.4316469999994</v>
      </c>
      <c r="C53" s="18">
        <v>23.867000000000001</v>
      </c>
      <c r="D53" s="18">
        <v>13.888</v>
      </c>
      <c r="E53" s="18">
        <v>1.66</v>
      </c>
      <c r="F53" s="19">
        <f t="shared" si="0"/>
        <v>400.7806446976997</v>
      </c>
      <c r="G53" s="20">
        <f t="shared" si="1"/>
        <v>5.6640509010993156E-2</v>
      </c>
      <c r="H53" s="20" cm="1">
        <f t="array" ref="H53">PRODUCT(G53:G88+1)^(1/3)-1</f>
        <v>7.4089838186821355E-2</v>
      </c>
      <c r="I53" s="21">
        <f t="shared" si="2"/>
        <v>272.45804274894687</v>
      </c>
    </row>
    <row r="54" spans="1:9" x14ac:dyDescent="0.3">
      <c r="A54" s="17">
        <v>44469</v>
      </c>
      <c r="B54" s="18">
        <v>9052.6830699999991</v>
      </c>
      <c r="C54" s="18">
        <v>23.867000000000001</v>
      </c>
      <c r="D54" s="18">
        <v>13.888</v>
      </c>
      <c r="E54" s="18">
        <v>1.66</v>
      </c>
      <c r="F54" s="19">
        <f t="shared" si="0"/>
        <v>379.29706582310297</v>
      </c>
      <c r="G54" s="20">
        <f t="shared" si="1"/>
        <v>-4.1520534498310946E-2</v>
      </c>
      <c r="H54" s="20" cm="1">
        <f t="array" ref="H54">PRODUCT(G54:G89+1)^(1/3)-1</f>
        <v>5.5033908947668797E-2</v>
      </c>
      <c r="I54" s="21">
        <f t="shared" si="2"/>
        <v>271.01905083336777</v>
      </c>
    </row>
    <row r="55" spans="1:9" x14ac:dyDescent="0.3">
      <c r="A55" s="17">
        <v>44439</v>
      </c>
      <c r="B55" s="18">
        <v>9444.8377830000009</v>
      </c>
      <c r="C55" s="18">
        <v>23.867000000000001</v>
      </c>
      <c r="D55" s="18">
        <v>13.888</v>
      </c>
      <c r="E55" s="18">
        <v>1.66</v>
      </c>
      <c r="F55" s="19">
        <f t="shared" si="0"/>
        <v>395.72789973603722</v>
      </c>
      <c r="G55" s="20">
        <f t="shared" si="1"/>
        <v>0.15762099818453135</v>
      </c>
      <c r="H55" s="20" cm="1">
        <f t="array" ref="H55">PRODUCT(G55:G90+1)^(1/3)-1</f>
        <v>7.3860751815559178E-2</v>
      </c>
      <c r="I55" s="21">
        <f t="shared" si="2"/>
        <v>269.72935663015107</v>
      </c>
    </row>
    <row r="56" spans="1:9" x14ac:dyDescent="0.3">
      <c r="A56" s="17">
        <v>44408</v>
      </c>
      <c r="B56" s="18">
        <v>9215.4796239999996</v>
      </c>
      <c r="C56" s="18">
        <v>26.957999999999998</v>
      </c>
      <c r="D56" s="18">
        <v>12.18</v>
      </c>
      <c r="E56" s="18">
        <v>1.6539999999999999</v>
      </c>
      <c r="F56" s="19">
        <f t="shared" si="0"/>
        <v>341.84582031307963</v>
      </c>
      <c r="G56" s="20">
        <f t="shared" si="1"/>
        <v>0.18714724288796392</v>
      </c>
      <c r="H56" s="20" cm="1">
        <f t="array" ref="H56">PRODUCT(G56:G91+1)^(1/3)-1</f>
        <v>3.4230169720893766E-2</v>
      </c>
      <c r="I56" s="21">
        <f t="shared" si="2"/>
        <v>268.33781948452423</v>
      </c>
    </row>
    <row r="57" spans="1:9" x14ac:dyDescent="0.3">
      <c r="A57" s="17">
        <v>44377</v>
      </c>
      <c r="B57" s="18">
        <v>9053.3273399999998</v>
      </c>
      <c r="C57" s="18">
        <v>31.44</v>
      </c>
      <c r="D57" s="18">
        <v>10.176</v>
      </c>
      <c r="E57" s="18">
        <v>1.675</v>
      </c>
      <c r="F57" s="19">
        <f t="shared" si="0"/>
        <v>287.95570419847326</v>
      </c>
      <c r="G57" s="20">
        <f t="shared" si="1"/>
        <v>1.4906865841499695E-2</v>
      </c>
      <c r="H57" s="20" cm="1">
        <f t="array" ref="H57">PRODUCT(G57:G92+1)^(1/3)-1</f>
        <v>-2.1787698752906426E-2</v>
      </c>
      <c r="I57" s="21">
        <f t="shared" si="2"/>
        <v>267.35384998320819</v>
      </c>
    </row>
    <row r="58" spans="1:9" x14ac:dyDescent="0.3">
      <c r="A58" s="17">
        <v>44347</v>
      </c>
      <c r="B58" s="18">
        <v>8920.3528370000004</v>
      </c>
      <c r="C58" s="18">
        <v>31.44</v>
      </c>
      <c r="D58" s="18">
        <v>10.176</v>
      </c>
      <c r="E58" s="18">
        <v>1.675</v>
      </c>
      <c r="F58" s="19">
        <f t="shared" si="0"/>
        <v>283.72623527353687</v>
      </c>
      <c r="G58" s="20">
        <f t="shared" si="1"/>
        <v>1.4405441393441798E-2</v>
      </c>
      <c r="H58" s="20" cm="1">
        <f t="array" ref="H58">PRODUCT(G58:G93+1)^(1/3)-1</f>
        <v>-2.7896544105559307E-2</v>
      </c>
      <c r="I58" s="21">
        <f t="shared" si="2"/>
        <v>266.84658539447901</v>
      </c>
    </row>
    <row r="59" spans="1:9" x14ac:dyDescent="0.3">
      <c r="A59" s="17">
        <v>44316</v>
      </c>
      <c r="B59" s="18">
        <v>8793.6760520000007</v>
      </c>
      <c r="C59" s="18">
        <v>31.44</v>
      </c>
      <c r="D59" s="18">
        <v>10.176</v>
      </c>
      <c r="E59" s="18">
        <v>1.675</v>
      </c>
      <c r="F59" s="19">
        <f t="shared" si="0"/>
        <v>279.69707544529263</v>
      </c>
      <c r="G59" s="20">
        <f t="shared" si="1"/>
        <v>1.0989705743264411E-2</v>
      </c>
      <c r="H59" s="20" cm="1">
        <f t="array" ref="H59">PRODUCT(G59:G94+1)^(1/3)-1</f>
        <v>-2.3235808707131822E-2</v>
      </c>
      <c r="I59" s="21">
        <f t="shared" si="2"/>
        <v>266.35219698154594</v>
      </c>
    </row>
    <row r="60" spans="1:9" x14ac:dyDescent="0.3">
      <c r="A60" s="17">
        <v>44286</v>
      </c>
      <c r="B60" s="18">
        <v>8402.6172839999999</v>
      </c>
      <c r="C60" s="18">
        <v>30.372</v>
      </c>
      <c r="D60" s="18">
        <v>10.202999999999999</v>
      </c>
      <c r="E60" s="18">
        <v>1.722</v>
      </c>
      <c r="F60" s="19">
        <f t="shared" si="0"/>
        <v>276.65669972342948</v>
      </c>
      <c r="G60" s="20">
        <f t="shared" si="1"/>
        <v>-0.16802747789450045</v>
      </c>
      <c r="H60" s="20" cm="1">
        <f t="array" ref="H60">PRODUCT(G60:G95+1)^(1/3)-1</f>
        <v>1.816839270542614E-2</v>
      </c>
      <c r="I60" s="21">
        <f t="shared" si="2"/>
        <v>265.84565267056524</v>
      </c>
    </row>
    <row r="61" spans="1:9" x14ac:dyDescent="0.3">
      <c r="A61" s="17">
        <v>44255</v>
      </c>
      <c r="B61" s="18">
        <v>8132.0469270000003</v>
      </c>
      <c r="C61" s="18">
        <v>24.454999999999998</v>
      </c>
      <c r="D61" s="18">
        <v>10.432</v>
      </c>
      <c r="E61" s="18">
        <v>2.0550000000000002</v>
      </c>
      <c r="F61" s="19">
        <f t="shared" si="0"/>
        <v>332.53105405847481</v>
      </c>
      <c r="G61" s="20">
        <f t="shared" si="1"/>
        <v>2.5624368421948374E-2</v>
      </c>
      <c r="H61" s="20" cm="1">
        <f t="array" ref="H61">PRODUCT(G61:G96+1)^(1/3)-1</f>
        <v>7.4631820040544028E-2</v>
      </c>
      <c r="I61" s="21">
        <f t="shared" si="2"/>
        <v>265.31387434451955</v>
      </c>
    </row>
    <row r="62" spans="1:9" x14ac:dyDescent="0.3">
      <c r="A62" s="17">
        <v>44227</v>
      </c>
      <c r="B62" s="18">
        <v>7928.8745250000002</v>
      </c>
      <c r="C62" s="18">
        <v>24.454999999999998</v>
      </c>
      <c r="D62" s="18">
        <v>10.432</v>
      </c>
      <c r="E62" s="18">
        <v>2.0550000000000002</v>
      </c>
      <c r="F62" s="19">
        <f t="shared" si="0"/>
        <v>324.22304334491929</v>
      </c>
      <c r="G62" s="20">
        <f t="shared" si="1"/>
        <v>-9.9386741889840868E-3</v>
      </c>
      <c r="H62" s="20" cm="1">
        <f t="array" ref="H62">PRODUCT(G62:G97+1)^(1/3)-1</f>
        <v>5.0683495317850547E-2</v>
      </c>
      <c r="I62" s="21">
        <f t="shared" si="2"/>
        <v>264.18073714258122</v>
      </c>
    </row>
    <row r="63" spans="1:9" x14ac:dyDescent="0.3">
      <c r="A63" s="17">
        <v>44196</v>
      </c>
      <c r="B63" s="18">
        <v>8008.4680799999996</v>
      </c>
      <c r="C63" s="18">
        <v>24.454999999999998</v>
      </c>
      <c r="D63" s="18">
        <v>10.432</v>
      </c>
      <c r="E63" s="18">
        <v>2.0550000000000002</v>
      </c>
      <c r="F63" s="19">
        <f t="shared" si="0"/>
        <v>327.47773788591292</v>
      </c>
      <c r="G63" s="20">
        <f t="shared" si="1"/>
        <v>4.2396713055948831E-2</v>
      </c>
      <c r="H63" s="20" cm="1">
        <f t="array" ref="H63">PRODUCT(G63:G98+1)^(1/3)-1</f>
        <v>6.050918779858816E-2</v>
      </c>
      <c r="I63" s="21">
        <f t="shared" si="2"/>
        <v>263.09651271331785</v>
      </c>
    </row>
    <row r="64" spans="1:9" x14ac:dyDescent="0.3">
      <c r="A64" s="17">
        <v>44165</v>
      </c>
      <c r="B64" s="18">
        <v>7682.7449470000001</v>
      </c>
      <c r="C64" s="18">
        <v>24.454999999999998</v>
      </c>
      <c r="D64" s="18">
        <v>10.432</v>
      </c>
      <c r="E64" s="18">
        <v>2.0550000000000002</v>
      </c>
      <c r="F64" s="19">
        <f t="shared" si="0"/>
        <v>314.15845213657741</v>
      </c>
      <c r="G64" s="20">
        <f t="shared" si="1"/>
        <v>0.12786151663679801</v>
      </c>
      <c r="H64" s="20" cm="1">
        <f t="array" ref="H64">PRODUCT(G64:G99+1)^(1/3)-1</f>
        <v>4.5147756760364421E-2</v>
      </c>
      <c r="I64" s="21">
        <f t="shared" si="2"/>
        <v>261.97849209576663</v>
      </c>
    </row>
    <row r="65" spans="1:9" x14ac:dyDescent="0.3">
      <c r="A65" s="17">
        <v>44135</v>
      </c>
      <c r="B65" s="18">
        <v>6811.780377</v>
      </c>
      <c r="C65" s="18">
        <v>24.454999999999998</v>
      </c>
      <c r="D65" s="18">
        <v>10.432</v>
      </c>
      <c r="E65" s="18">
        <v>2.0550000000000002</v>
      </c>
      <c r="F65" s="19">
        <f t="shared" si="0"/>
        <v>278.54346256389289</v>
      </c>
      <c r="G65" s="20">
        <f t="shared" si="1"/>
        <v>-0.1453847484246843</v>
      </c>
      <c r="H65" s="20" cm="1">
        <f t="array" ref="H65">PRODUCT(G65:G100+1)^(1/3)-1</f>
        <v>1.2399227451727723E-2</v>
      </c>
      <c r="I65" s="21">
        <f t="shared" si="2"/>
        <v>260.93762101764389</v>
      </c>
    </row>
    <row r="66" spans="1:9" x14ac:dyDescent="0.3">
      <c r="A66" s="17">
        <v>44104</v>
      </c>
      <c r="B66" s="18">
        <v>7027.3442759999998</v>
      </c>
      <c r="C66" s="18">
        <v>21.561</v>
      </c>
      <c r="D66" s="18">
        <v>11.837999999999999</v>
      </c>
      <c r="E66" s="18">
        <v>2.081</v>
      </c>
      <c r="F66" s="19">
        <f t="shared" si="0"/>
        <v>325.92849478224571</v>
      </c>
      <c r="G66" s="20">
        <f t="shared" si="1"/>
        <v>-3.4499131047067588E-2</v>
      </c>
      <c r="H66" s="20" cm="1">
        <f t="array" ref="H66">PRODUCT(G66:G101+1)^(1/3)-1</f>
        <v>6.5223377911203695E-2</v>
      </c>
      <c r="I66" s="21">
        <f t="shared" si="2"/>
        <v>260.12423360661882</v>
      </c>
    </row>
    <row r="67" spans="1:9" x14ac:dyDescent="0.3">
      <c r="A67" s="17">
        <v>44074</v>
      </c>
      <c r="B67" s="18">
        <v>7278.4442790000003</v>
      </c>
      <c r="C67" s="18">
        <v>21.561</v>
      </c>
      <c r="D67" s="18">
        <v>11.837999999999999</v>
      </c>
      <c r="E67" s="18">
        <v>2.081</v>
      </c>
      <c r="F67" s="19">
        <f t="shared" ref="F67:F130" si="3">B67/C67</f>
        <v>337.57452247112843</v>
      </c>
      <c r="G67" s="20">
        <f t="shared" ref="G67:G130" si="4">F67/F68-1</f>
        <v>6.6814368404275237E-2</v>
      </c>
      <c r="H67" s="20" cm="1">
        <f t="array" ref="H67">PRODUCT(G67:G102+1)^(1/3)-1</f>
        <v>8.5105894250955494E-2</v>
      </c>
      <c r="I67" s="21">
        <f t="shared" ref="I67:I130" si="5">AVERAGE(F67:F186)</f>
        <v>258.89534141774988</v>
      </c>
    </row>
    <row r="68" spans="1:9" x14ac:dyDescent="0.3">
      <c r="A68" s="17">
        <v>44043</v>
      </c>
      <c r="B68" s="18">
        <v>6822.5967840000003</v>
      </c>
      <c r="C68" s="18">
        <v>21.561</v>
      </c>
      <c r="D68" s="18">
        <v>11.837999999999999</v>
      </c>
      <c r="E68" s="18">
        <v>2.081</v>
      </c>
      <c r="F68" s="19">
        <f t="shared" si="3"/>
        <v>316.43229831640463</v>
      </c>
      <c r="G68" s="20">
        <f t="shared" si="4"/>
        <v>1.6723804735241377E-3</v>
      </c>
      <c r="H68" s="20" cm="1">
        <f t="array" ref="H68">PRODUCT(G68:G103+1)^(1/3)-1</f>
        <v>7.5893771027520263E-2</v>
      </c>
      <c r="I68" s="21">
        <f t="shared" si="5"/>
        <v>257.52572202685042</v>
      </c>
    </row>
    <row r="69" spans="1:9" x14ac:dyDescent="0.3">
      <c r="A69" s="17">
        <v>44012</v>
      </c>
      <c r="B69" s="18">
        <v>6511.0970690000004</v>
      </c>
      <c r="C69" s="18">
        <v>20.611000000000001</v>
      </c>
      <c r="D69" s="18">
        <v>12.087999999999999</v>
      </c>
      <c r="E69" s="18">
        <v>2.1659999999999999</v>
      </c>
      <c r="F69" s="19">
        <f t="shared" si="3"/>
        <v>315.90398665761001</v>
      </c>
      <c r="G69" s="20">
        <f t="shared" si="4"/>
        <v>-4.1228682753716717E-2</v>
      </c>
      <c r="H69" s="20" cm="1">
        <f t="array" ref="H69">PRODUCT(G69:G104+1)^(1/3)-1</f>
        <v>8.1475439997445553E-2</v>
      </c>
      <c r="I69" s="21">
        <f t="shared" si="5"/>
        <v>256.23903584884704</v>
      </c>
    </row>
    <row r="70" spans="1:9" x14ac:dyDescent="0.3">
      <c r="A70" s="17">
        <v>43982</v>
      </c>
      <c r="B70" s="18">
        <v>6343.3098609999997</v>
      </c>
      <c r="C70" s="18">
        <v>19.251999999999999</v>
      </c>
      <c r="D70" s="18">
        <v>12.366</v>
      </c>
      <c r="E70" s="18">
        <v>2.2519999999999998</v>
      </c>
      <c r="F70" s="19">
        <f t="shared" si="3"/>
        <v>329.48835762518178</v>
      </c>
      <c r="G70" s="20">
        <f t="shared" si="4"/>
        <v>-4.6492611360347547E-2</v>
      </c>
      <c r="H70" s="20" cm="1">
        <f t="array" ref="H70">PRODUCT(G70:G105+1)^(1/3)-1</f>
        <v>0.10226030003820052</v>
      </c>
      <c r="I70" s="21">
        <f t="shared" si="5"/>
        <v>254.9236194872019</v>
      </c>
    </row>
    <row r="71" spans="1:9" x14ac:dyDescent="0.3">
      <c r="A71" s="17">
        <v>43951</v>
      </c>
      <c r="B71" s="18">
        <v>6050.9972959999996</v>
      </c>
      <c r="C71" s="18">
        <v>17.510999999999999</v>
      </c>
      <c r="D71" s="18">
        <v>12.840999999999999</v>
      </c>
      <c r="E71" s="18">
        <v>2.3660000000000001</v>
      </c>
      <c r="F71" s="19">
        <f t="shared" si="3"/>
        <v>345.55406864256753</v>
      </c>
      <c r="G71" s="20">
        <f t="shared" si="4"/>
        <v>-4.3343510491289372E-3</v>
      </c>
      <c r="H71" s="20" cm="1">
        <f t="array" ref="H71">PRODUCT(G71:G106+1)^(1/3)-1</f>
        <v>0.1394764191334581</v>
      </c>
      <c r="I71" s="21">
        <f t="shared" si="5"/>
        <v>253.43048128357984</v>
      </c>
    </row>
    <row r="72" spans="1:9" x14ac:dyDescent="0.3">
      <c r="A72" s="17">
        <v>43921</v>
      </c>
      <c r="B72" s="18">
        <v>5455.0630090000004</v>
      </c>
      <c r="C72" s="18">
        <v>15.718</v>
      </c>
      <c r="D72" s="18">
        <v>12.971</v>
      </c>
      <c r="E72" s="18">
        <v>2.9660000000000002</v>
      </c>
      <c r="F72" s="19">
        <f t="shared" si="3"/>
        <v>347.05834132841329</v>
      </c>
      <c r="G72" s="20">
        <f t="shared" si="4"/>
        <v>0.10298128282849928</v>
      </c>
      <c r="H72" s="20" cm="1">
        <f t="array" ref="H72">PRODUCT(G72:G107+1)^(1/3)-1</f>
        <v>0.14167286660150435</v>
      </c>
      <c r="I72" s="21">
        <f t="shared" si="5"/>
        <v>251.71288027967734</v>
      </c>
    </row>
    <row r="73" spans="1:9" x14ac:dyDescent="0.3">
      <c r="A73" s="17">
        <v>43890</v>
      </c>
      <c r="B73" s="18">
        <v>6287.1173120000003</v>
      </c>
      <c r="C73" s="18">
        <v>19.981000000000002</v>
      </c>
      <c r="D73" s="18">
        <v>12.845000000000001</v>
      </c>
      <c r="E73" s="18">
        <v>2.343</v>
      </c>
      <c r="F73" s="19">
        <f t="shared" si="3"/>
        <v>314.65478764826582</v>
      </c>
      <c r="G73" s="20">
        <f t="shared" si="4"/>
        <v>-8.4525247547173055E-2</v>
      </c>
      <c r="H73" s="20" cm="1">
        <f t="array" ref="H73">PRODUCT(G73:G108+1)^(1/3)-1</f>
        <v>0.11644519302983225</v>
      </c>
      <c r="I73" s="21">
        <f t="shared" si="5"/>
        <v>249.95593293904921</v>
      </c>
    </row>
    <row r="74" spans="1:9" x14ac:dyDescent="0.3">
      <c r="A74" s="17">
        <v>43861</v>
      </c>
      <c r="B74" s="18">
        <v>6867.6031700000003</v>
      </c>
      <c r="C74" s="18">
        <v>19.981000000000002</v>
      </c>
      <c r="D74" s="18">
        <v>12.845000000000001</v>
      </c>
      <c r="E74" s="18">
        <v>2.343</v>
      </c>
      <c r="F74" s="19">
        <f t="shared" si="3"/>
        <v>343.70667984585356</v>
      </c>
      <c r="G74" s="20">
        <f t="shared" si="4"/>
        <v>-6.2544877941303811E-2</v>
      </c>
      <c r="H74" s="20" cm="1">
        <f t="array" ref="H74">PRODUCT(G74:G109+1)^(1/3)-1</f>
        <v>0.15251180471462389</v>
      </c>
      <c r="I74" s="21">
        <f t="shared" si="5"/>
        <v>248.15866402703847</v>
      </c>
    </row>
    <row r="75" spans="1:9" x14ac:dyDescent="0.3">
      <c r="A75" s="17">
        <v>43830</v>
      </c>
      <c r="B75" s="18">
        <v>6909.6599249999999</v>
      </c>
      <c r="C75" s="18">
        <v>18.846</v>
      </c>
      <c r="D75" s="18">
        <v>13.121</v>
      </c>
      <c r="E75" s="18">
        <v>2.4289999999999998</v>
      </c>
      <c r="F75" s="19">
        <f t="shared" si="3"/>
        <v>366.63800939191339</v>
      </c>
      <c r="G75" s="20">
        <f t="shared" si="4"/>
        <v>2.9958242732737617E-2</v>
      </c>
      <c r="H75" s="20" cm="1">
        <f t="array" ref="H75">PRODUCT(G75:G110+1)^(1/3)-1</f>
        <v>0.18401135891355147</v>
      </c>
      <c r="I75" s="21">
        <f t="shared" si="5"/>
        <v>246.10782998335176</v>
      </c>
    </row>
    <row r="76" spans="1:9" x14ac:dyDescent="0.3">
      <c r="A76" s="17">
        <v>43799</v>
      </c>
      <c r="B76" s="18">
        <v>6708.6796709999999</v>
      </c>
      <c r="C76" s="18">
        <v>18.846</v>
      </c>
      <c r="D76" s="18">
        <v>13.121</v>
      </c>
      <c r="E76" s="18">
        <v>2.4289999999999998</v>
      </c>
      <c r="F76" s="19">
        <f t="shared" si="3"/>
        <v>355.97366396052212</v>
      </c>
      <c r="G76" s="20">
        <f t="shared" si="4"/>
        <v>2.7850161701389542E-2</v>
      </c>
      <c r="H76" s="20" cm="1">
        <f t="array" ref="H76">PRODUCT(G76:G111+1)^(1/3)-1</f>
        <v>0.17475768937582226</v>
      </c>
      <c r="I76" s="21">
        <f t="shared" si="5"/>
        <v>243.87067017949855</v>
      </c>
    </row>
    <row r="77" spans="1:9" x14ac:dyDescent="0.3">
      <c r="A77" s="17">
        <v>43769</v>
      </c>
      <c r="B77" s="18">
        <v>6526.9043300000003</v>
      </c>
      <c r="C77" s="18">
        <v>18.846</v>
      </c>
      <c r="D77" s="18">
        <v>13.121</v>
      </c>
      <c r="E77" s="18">
        <v>2.4289999999999998</v>
      </c>
      <c r="F77" s="19">
        <f t="shared" si="3"/>
        <v>346.32836304786161</v>
      </c>
      <c r="G77" s="20">
        <f t="shared" si="4"/>
        <v>5.3150653313513985E-3</v>
      </c>
      <c r="H77" s="20" cm="1">
        <f t="array" ref="H77">PRODUCT(G77:G112+1)^(1/3)-1</f>
        <v>0.16960292721681913</v>
      </c>
      <c r="I77" s="21">
        <f t="shared" si="5"/>
        <v>241.76079301918341</v>
      </c>
    </row>
    <row r="78" spans="1:9" x14ac:dyDescent="0.3">
      <c r="A78" s="17">
        <v>43738</v>
      </c>
      <c r="B78" s="18">
        <v>6364.9328020000003</v>
      </c>
      <c r="C78" s="18">
        <v>18.475999999999999</v>
      </c>
      <c r="D78" s="18">
        <v>13.291</v>
      </c>
      <c r="E78" s="18">
        <v>2.444</v>
      </c>
      <c r="F78" s="19">
        <f t="shared" si="3"/>
        <v>344.49733719419788</v>
      </c>
      <c r="G78" s="20">
        <f t="shared" si="4"/>
        <v>2.1280967469440304E-2</v>
      </c>
      <c r="H78" s="20" cm="1">
        <f t="array" ref="H78">PRODUCT(G78:G113+1)^(1/3)-1</f>
        <v>0.1592209055277336</v>
      </c>
      <c r="I78" s="21">
        <f t="shared" si="5"/>
        <v>239.76763654242839</v>
      </c>
    </row>
    <row r="79" spans="1:9" x14ac:dyDescent="0.3">
      <c r="A79" s="17">
        <v>43708</v>
      </c>
      <c r="B79" s="18">
        <v>6232.3033569999998</v>
      </c>
      <c r="C79" s="18">
        <v>18.475999999999999</v>
      </c>
      <c r="D79" s="18">
        <v>13.291</v>
      </c>
      <c r="E79" s="18">
        <v>2.444</v>
      </c>
      <c r="F79" s="19">
        <f t="shared" si="3"/>
        <v>337.3188653929422</v>
      </c>
      <c r="G79" s="20">
        <f t="shared" si="4"/>
        <v>-2.0454536622533714E-2</v>
      </c>
      <c r="H79" s="20" cm="1">
        <f t="array" ref="H79">PRODUCT(G79:G114+1)^(1/3)-1</f>
        <v>0.14957886223763328</v>
      </c>
      <c r="I79" s="21">
        <f t="shared" si="5"/>
        <v>237.78559491140308</v>
      </c>
    </row>
    <row r="80" spans="1:9" x14ac:dyDescent="0.3">
      <c r="A80" s="17">
        <v>43677</v>
      </c>
      <c r="B80" s="18">
        <v>6362.4442049999998</v>
      </c>
      <c r="C80" s="18">
        <v>18.475999999999999</v>
      </c>
      <c r="D80" s="18">
        <v>13.291</v>
      </c>
      <c r="E80" s="18">
        <v>2.444</v>
      </c>
      <c r="F80" s="19">
        <f t="shared" si="3"/>
        <v>344.36264369993506</v>
      </c>
      <c r="G80" s="20">
        <f t="shared" si="4"/>
        <v>-5.4355954083814551E-3</v>
      </c>
      <c r="H80" s="20" cm="1">
        <f t="array" ref="H80">PRODUCT(G80:G115+1)^(1/3)-1</f>
        <v>0.15192811205556023</v>
      </c>
      <c r="I80" s="21">
        <f t="shared" si="5"/>
        <v>235.98312052607901</v>
      </c>
    </row>
    <row r="81" spans="1:9" x14ac:dyDescent="0.3">
      <c r="A81" s="17">
        <v>43646</v>
      </c>
      <c r="B81" s="18">
        <v>6331.0841520000004</v>
      </c>
      <c r="C81" s="18">
        <v>18.285</v>
      </c>
      <c r="D81" s="18">
        <v>13.305999999999999</v>
      </c>
      <c r="E81" s="18">
        <v>2.4540000000000002</v>
      </c>
      <c r="F81" s="19">
        <f t="shared" si="3"/>
        <v>346.24468974569322</v>
      </c>
      <c r="G81" s="20">
        <f t="shared" si="4"/>
        <v>1.5471103298783317E-2</v>
      </c>
      <c r="H81" s="20" cm="1">
        <f t="array" ref="H81">PRODUCT(G81:G116+1)^(1/3)-1</f>
        <v>0.15412607339799966</v>
      </c>
      <c r="I81" s="21">
        <f t="shared" si="5"/>
        <v>234.19808110033088</v>
      </c>
    </row>
    <row r="82" spans="1:9" x14ac:dyDescent="0.3">
      <c r="A82" s="17">
        <v>43616</v>
      </c>
      <c r="B82" s="18">
        <v>5939.6889540000002</v>
      </c>
      <c r="C82" s="18">
        <v>17.420000000000002</v>
      </c>
      <c r="D82" s="18">
        <v>13.282999999999999</v>
      </c>
      <c r="E82" s="18">
        <v>2.5859999999999999</v>
      </c>
      <c r="F82" s="19">
        <f t="shared" si="3"/>
        <v>340.96951515499421</v>
      </c>
      <c r="G82" s="20">
        <f t="shared" si="4"/>
        <v>-3.698325940862035E-2</v>
      </c>
      <c r="H82" s="20" cm="1">
        <f t="array" ref="H82">PRODUCT(G82:G117+1)^(1/3)-1</f>
        <v>0.13776060646654353</v>
      </c>
      <c r="I82" s="21">
        <f t="shared" si="5"/>
        <v>232.42484685450168</v>
      </c>
    </row>
    <row r="83" spans="1:9" x14ac:dyDescent="0.3">
      <c r="A83" s="17">
        <v>43585</v>
      </c>
      <c r="B83" s="18">
        <v>6303.4005770000003</v>
      </c>
      <c r="C83" s="18">
        <v>17.803000000000001</v>
      </c>
      <c r="D83" s="18">
        <v>13.436999999999999</v>
      </c>
      <c r="E83" s="18">
        <v>2.5139999999999998</v>
      </c>
      <c r="F83" s="19">
        <f t="shared" si="3"/>
        <v>354.06395422119868</v>
      </c>
      <c r="G83" s="20">
        <f t="shared" si="4"/>
        <v>3.5459311726004028E-2</v>
      </c>
      <c r="H83" s="20" cm="1">
        <f t="array" ref="H83">PRODUCT(G83:G118+1)^(1/3)-1</f>
        <v>0.15429574396651757</v>
      </c>
      <c r="I83" s="21">
        <f t="shared" si="5"/>
        <v>230.81936749269954</v>
      </c>
    </row>
    <row r="84" spans="1:9" x14ac:dyDescent="0.3">
      <c r="A84" s="17">
        <v>43555</v>
      </c>
      <c r="B84" s="18">
        <v>6087.5405780000001</v>
      </c>
      <c r="C84" s="18">
        <v>17.803000000000001</v>
      </c>
      <c r="D84" s="18">
        <v>13.436999999999999</v>
      </c>
      <c r="E84" s="18">
        <v>2.5139999999999998</v>
      </c>
      <c r="F84" s="19">
        <f t="shared" si="3"/>
        <v>341.93903151154296</v>
      </c>
      <c r="G84" s="20">
        <f t="shared" si="4"/>
        <v>2.7202933128127604E-3</v>
      </c>
      <c r="H84" s="20" cm="1">
        <f t="array" ref="H84">PRODUCT(G84:G119+1)^(1/3)-1</f>
        <v>0.13682795880078813</v>
      </c>
      <c r="I84" s="21">
        <f t="shared" si="5"/>
        <v>229.12185934104178</v>
      </c>
    </row>
    <row r="85" spans="1:9" x14ac:dyDescent="0.3">
      <c r="A85" s="17">
        <v>43524</v>
      </c>
      <c r="B85" s="18">
        <v>6008.6205250000003</v>
      </c>
      <c r="C85" s="18">
        <v>17.62</v>
      </c>
      <c r="D85" s="18">
        <v>13.381</v>
      </c>
      <c r="E85" s="18">
        <v>2.5379999999999998</v>
      </c>
      <c r="F85" s="19">
        <f t="shared" si="3"/>
        <v>341.01138053348467</v>
      </c>
      <c r="G85" s="20">
        <f t="shared" si="4"/>
        <v>8.3969754385715412E-4</v>
      </c>
      <c r="H85" s="20" cm="1">
        <f t="array" ref="H85">PRODUCT(G85:G120+1)^(1/3)-1</f>
        <v>0.12636959231936884</v>
      </c>
      <c r="I85" s="21">
        <f t="shared" si="5"/>
        <v>227.54699954617797</v>
      </c>
    </row>
    <row r="86" spans="1:9" x14ac:dyDescent="0.3">
      <c r="A86" s="17">
        <v>43496</v>
      </c>
      <c r="B86" s="18">
        <v>5833.2166969999998</v>
      </c>
      <c r="C86" s="18">
        <v>17.12</v>
      </c>
      <c r="D86" s="18">
        <v>13.425000000000001</v>
      </c>
      <c r="E86" s="18">
        <v>2.5910000000000002</v>
      </c>
      <c r="F86" s="19">
        <f t="shared" si="3"/>
        <v>340.72527435747662</v>
      </c>
      <c r="G86" s="20">
        <f t="shared" si="4"/>
        <v>1.2646383375821912E-2</v>
      </c>
      <c r="H86" s="20" cm="1">
        <f t="array" ref="H86">PRODUCT(G86:G121+1)^(1/3)-1</f>
        <v>0.13030773799163509</v>
      </c>
      <c r="I86" s="21">
        <f t="shared" si="5"/>
        <v>226.23925580557767</v>
      </c>
    </row>
    <row r="87" spans="1:9" x14ac:dyDescent="0.3">
      <c r="A87" s="17">
        <v>43465</v>
      </c>
      <c r="B87" s="18">
        <v>5412.122265</v>
      </c>
      <c r="C87" s="18">
        <v>16.085000000000001</v>
      </c>
      <c r="D87" s="18">
        <v>13.391</v>
      </c>
      <c r="E87" s="18">
        <v>2.7589999999999999</v>
      </c>
      <c r="F87" s="19">
        <f t="shared" si="3"/>
        <v>336.47014392290953</v>
      </c>
      <c r="G87" s="20">
        <f t="shared" si="4"/>
        <v>6.7365996745785139E-3</v>
      </c>
      <c r="H87" s="20" cm="1">
        <f t="array" ref="H87">PRODUCT(G87:G122+1)^(1/3)-1</f>
        <v>0.12408147054030083</v>
      </c>
      <c r="I87" s="21">
        <f t="shared" si="5"/>
        <v>225.05369504941669</v>
      </c>
    </row>
    <row r="88" spans="1:9" x14ac:dyDescent="0.3">
      <c r="A88" s="17">
        <v>43434</v>
      </c>
      <c r="B88" s="18">
        <v>5857.5160020000003</v>
      </c>
      <c r="C88" s="18">
        <v>17.526</v>
      </c>
      <c r="D88" s="18">
        <v>13.304</v>
      </c>
      <c r="E88" s="18">
        <v>2.5310000000000001</v>
      </c>
      <c r="F88" s="19">
        <f t="shared" si="3"/>
        <v>334.21864669633692</v>
      </c>
      <c r="G88" s="20">
        <f t="shared" si="4"/>
        <v>3.334599411324457E-2</v>
      </c>
      <c r="H88" s="20" cm="1">
        <f t="array" ref="H88">PRODUCT(G88:G123+1)^(1/3)-1</f>
        <v>0.12123500162006362</v>
      </c>
      <c r="I88" s="21">
        <f t="shared" si="5"/>
        <v>223.88064973062808</v>
      </c>
    </row>
    <row r="89" spans="1:9" x14ac:dyDescent="0.3">
      <c r="A89" s="17">
        <v>43404</v>
      </c>
      <c r="B89" s="18">
        <v>5791.7225600000002</v>
      </c>
      <c r="C89" s="18">
        <v>17.907</v>
      </c>
      <c r="D89" s="18">
        <v>12.926</v>
      </c>
      <c r="E89" s="18">
        <v>2.54</v>
      </c>
      <c r="F89" s="19">
        <f t="shared" si="3"/>
        <v>323.43343720332831</v>
      </c>
      <c r="G89" s="20">
        <f t="shared" si="4"/>
        <v>1.3933141583934994E-3</v>
      </c>
      <c r="H89" s="20" cm="1">
        <f t="array" ref="H89">PRODUCT(G89:G124+1)^(1/3)-1</f>
        <v>0.10053822893420006</v>
      </c>
      <c r="I89" s="21">
        <f t="shared" si="5"/>
        <v>222.72488734271158</v>
      </c>
    </row>
    <row r="90" spans="1:9" x14ac:dyDescent="0.3">
      <c r="A90" s="17">
        <v>43373</v>
      </c>
      <c r="B90" s="18">
        <v>6250.6981239999996</v>
      </c>
      <c r="C90" s="18">
        <v>19.353000000000002</v>
      </c>
      <c r="D90" s="18">
        <v>12.872</v>
      </c>
      <c r="E90" s="18">
        <v>2.3519999999999999</v>
      </c>
      <c r="F90" s="19">
        <f t="shared" si="3"/>
        <v>322.98341983155063</v>
      </c>
      <c r="G90" s="20">
        <f t="shared" si="4"/>
        <v>1.0712106691984635E-2</v>
      </c>
      <c r="H90" s="20" cm="1">
        <f t="array" ref="H90">PRODUCT(G90:G125+1)^(1/3)-1</f>
        <v>0.10185060516456779</v>
      </c>
      <c r="I90" s="21">
        <f t="shared" si="5"/>
        <v>221.68451381475913</v>
      </c>
    </row>
    <row r="91" spans="1:9" x14ac:dyDescent="0.3">
      <c r="A91" s="17">
        <v>43343</v>
      </c>
      <c r="B91" s="18">
        <v>6216.0861050000003</v>
      </c>
      <c r="C91" s="18">
        <v>19.452000000000002</v>
      </c>
      <c r="D91" s="18">
        <v>12.708</v>
      </c>
      <c r="E91" s="18">
        <v>2.3490000000000002</v>
      </c>
      <c r="F91" s="19">
        <f t="shared" si="3"/>
        <v>319.56025627184863</v>
      </c>
      <c r="G91" s="20">
        <f t="shared" si="4"/>
        <v>3.4127516232858035E-2</v>
      </c>
      <c r="H91" s="20" cm="1">
        <f t="array" ref="H91">PRODUCT(G91:G126+1)^(1/3)-1</f>
        <v>9.6600098436409043E-2</v>
      </c>
      <c r="I91" s="21">
        <f t="shared" si="5"/>
        <v>220.72027725482812</v>
      </c>
    </row>
    <row r="92" spans="1:9" x14ac:dyDescent="0.3">
      <c r="A92" s="17">
        <v>43312</v>
      </c>
      <c r="B92" s="18">
        <v>6140.1154040000001</v>
      </c>
      <c r="C92" s="18">
        <v>19.87</v>
      </c>
      <c r="D92" s="18">
        <v>12.332000000000001</v>
      </c>
      <c r="E92" s="18">
        <v>2.3610000000000002</v>
      </c>
      <c r="F92" s="19">
        <f t="shared" si="3"/>
        <v>309.01436356316054</v>
      </c>
      <c r="G92" s="20">
        <f t="shared" si="4"/>
        <v>4.5055493066123997E-3</v>
      </c>
      <c r="H92" s="20" cm="1">
        <f t="array" ref="H92">PRODUCT(G92:G127+1)^(1/3)-1</f>
        <v>8.4814959383341382E-2</v>
      </c>
      <c r="I92" s="21">
        <f t="shared" si="5"/>
        <v>219.8922812341427</v>
      </c>
    </row>
    <row r="93" spans="1:9" x14ac:dyDescent="0.3">
      <c r="A93" s="17">
        <v>43281</v>
      </c>
      <c r="B93" s="18">
        <v>5954.146307</v>
      </c>
      <c r="C93" s="18">
        <v>19.355</v>
      </c>
      <c r="D93" s="18">
        <v>12.292</v>
      </c>
      <c r="E93" s="18">
        <v>2.4079999999999999</v>
      </c>
      <c r="F93" s="19">
        <f t="shared" si="3"/>
        <v>307.62832895892535</v>
      </c>
      <c r="G93" s="20">
        <f t="shared" si="4"/>
        <v>-3.9886392155852324E-3</v>
      </c>
      <c r="H93" s="20" cm="1">
        <f t="array" ref="H93">PRODUCT(G93:G128+1)^(1/3)-1</f>
        <v>8.1969423059493174E-2</v>
      </c>
      <c r="I93" s="21">
        <f t="shared" si="5"/>
        <v>219.19567382888593</v>
      </c>
    </row>
    <row r="94" spans="1:9" x14ac:dyDescent="0.3">
      <c r="A94" s="17">
        <v>43251</v>
      </c>
      <c r="B94" s="18">
        <v>5956.9878559999997</v>
      </c>
      <c r="C94" s="18">
        <v>19.286999999999999</v>
      </c>
      <c r="D94" s="18">
        <v>12.269</v>
      </c>
      <c r="E94" s="18">
        <v>2.4060000000000001</v>
      </c>
      <c r="F94" s="19">
        <f t="shared" si="3"/>
        <v>308.86026110851867</v>
      </c>
      <c r="G94" s="20">
        <f t="shared" si="4"/>
        <v>2.9066162762753089E-2</v>
      </c>
      <c r="H94" s="20" cm="1">
        <f t="array" ref="H94">PRODUCT(G94:G129+1)^(1/3)-1</f>
        <v>8.5772484444334385E-2</v>
      </c>
      <c r="I94" s="21">
        <f t="shared" si="5"/>
        <v>218.51936189919925</v>
      </c>
    </row>
    <row r="95" spans="1:9" x14ac:dyDescent="0.3">
      <c r="A95" s="17">
        <v>43220</v>
      </c>
      <c r="B95" s="18">
        <v>5919.891267</v>
      </c>
      <c r="C95" s="18">
        <v>19.724</v>
      </c>
      <c r="D95" s="18">
        <v>11.939</v>
      </c>
      <c r="E95" s="18">
        <v>2.41</v>
      </c>
      <c r="F95" s="19">
        <f t="shared" si="3"/>
        <v>300.13644630906509</v>
      </c>
      <c r="G95" s="20">
        <f t="shared" si="4"/>
        <v>0.14508144439109016</v>
      </c>
      <c r="H95" s="20" cm="1">
        <f t="array" ref="H95">PRODUCT(G95:G130+1)^(1/3)-1</f>
        <v>6.9088207729704143E-2</v>
      </c>
      <c r="I95" s="21">
        <f t="shared" si="5"/>
        <v>217.87298528089133</v>
      </c>
    </row>
    <row r="96" spans="1:9" x14ac:dyDescent="0.3">
      <c r="A96" s="17">
        <v>43190</v>
      </c>
      <c r="B96" s="18">
        <v>5852.6375939999998</v>
      </c>
      <c r="C96" s="18">
        <v>22.329000000000001</v>
      </c>
      <c r="D96" s="18">
        <v>11.284000000000001</v>
      </c>
      <c r="E96" s="18">
        <v>2.2269999999999999</v>
      </c>
      <c r="F96" s="19">
        <f t="shared" si="3"/>
        <v>262.10925675130994</v>
      </c>
      <c r="G96" s="20">
        <f t="shared" si="4"/>
        <v>-2.1796442666560334E-2</v>
      </c>
      <c r="H96" s="20" cm="1">
        <f t="array" ref="H96">PRODUCT(G96:G131+1)^(1/3)-1</f>
        <v>2.8053520542077992E-2</v>
      </c>
      <c r="I96" s="21">
        <f t="shared" si="5"/>
        <v>217.29956933391313</v>
      </c>
    </row>
    <row r="97" spans="1:9" x14ac:dyDescent="0.3">
      <c r="A97" s="17">
        <v>43159</v>
      </c>
      <c r="B97" s="18">
        <v>5983.0467289999997</v>
      </c>
      <c r="C97" s="18">
        <v>22.329000000000001</v>
      </c>
      <c r="D97" s="18">
        <v>11.284000000000001</v>
      </c>
      <c r="E97" s="18">
        <v>2.2269999999999999</v>
      </c>
      <c r="F97" s="19">
        <f t="shared" si="3"/>
        <v>267.94960495319987</v>
      </c>
      <c r="G97" s="20">
        <f t="shared" si="4"/>
        <v>-4.1427482207929023E-2</v>
      </c>
      <c r="H97" s="20" cm="1">
        <f t="array" ref="H97">PRODUCT(G97:G132+1)^(1/3)-1</f>
        <v>2.1559757505019039E-2</v>
      </c>
      <c r="I97" s="21">
        <f t="shared" si="5"/>
        <v>217.05766497323481</v>
      </c>
    </row>
    <row r="98" spans="1:9" x14ac:dyDescent="0.3">
      <c r="A98" s="17">
        <v>43131</v>
      </c>
      <c r="B98" s="18">
        <v>6241.6213879999996</v>
      </c>
      <c r="C98" s="18">
        <v>22.329000000000001</v>
      </c>
      <c r="D98" s="18">
        <v>11.284000000000001</v>
      </c>
      <c r="E98" s="18">
        <v>2.2269999999999999</v>
      </c>
      <c r="F98" s="19">
        <f t="shared" si="3"/>
        <v>279.52982166689054</v>
      </c>
      <c r="G98" s="20">
        <f t="shared" si="4"/>
        <v>1.809820540690521E-2</v>
      </c>
      <c r="H98" s="20" cm="1">
        <f t="array" ref="H98">PRODUCT(G98:G133+1)^(1/3)-1</f>
        <v>3.8538132332577302E-2</v>
      </c>
      <c r="I98" s="21">
        <f t="shared" si="5"/>
        <v>216.80124704454059</v>
      </c>
    </row>
    <row r="99" spans="1:9" x14ac:dyDescent="0.3">
      <c r="A99" s="17">
        <v>43100</v>
      </c>
      <c r="B99" s="18">
        <v>5928.5905890000004</v>
      </c>
      <c r="C99" s="18">
        <v>21.593</v>
      </c>
      <c r="D99" s="18">
        <v>11.271000000000001</v>
      </c>
      <c r="E99" s="18">
        <v>2.294</v>
      </c>
      <c r="F99" s="19">
        <f t="shared" si="3"/>
        <v>274.56076455332749</v>
      </c>
      <c r="G99" s="20">
        <f t="shared" si="4"/>
        <v>-2.247544450970751E-3</v>
      </c>
      <c r="H99" s="20" cm="1">
        <f t="array" ref="H99">PRODUCT(G99:G134+1)^(1/3)-1</f>
        <v>2.9220404901890262E-2</v>
      </c>
      <c r="I99" s="21">
        <f t="shared" si="5"/>
        <v>216.42397627522013</v>
      </c>
    </row>
    <row r="100" spans="1:9" x14ac:dyDescent="0.3">
      <c r="A100" s="17">
        <v>43069</v>
      </c>
      <c r="B100" s="18">
        <v>5849.4851500000004</v>
      </c>
      <c r="C100" s="18">
        <v>21.257000000000001</v>
      </c>
      <c r="D100" s="18">
        <v>11.339</v>
      </c>
      <c r="E100" s="18">
        <v>2.3260000000000001</v>
      </c>
      <c r="F100" s="19">
        <f t="shared" si="3"/>
        <v>275.17924213200359</v>
      </c>
      <c r="G100" s="20">
        <f t="shared" si="4"/>
        <v>2.5128046349409905E-2</v>
      </c>
      <c r="H100" s="20" cm="1">
        <f t="array" ref="H100">PRODUCT(G100:G135+1)^(1/3)-1</f>
        <v>2.8177972218353275E-2</v>
      </c>
      <c r="I100" s="21">
        <f t="shared" si="5"/>
        <v>216.06526197422082</v>
      </c>
    </row>
    <row r="101" spans="1:9" x14ac:dyDescent="0.3">
      <c r="A101" s="17">
        <v>43039</v>
      </c>
      <c r="B101" s="18">
        <v>5725.4292050000004</v>
      </c>
      <c r="C101" s="18">
        <v>21.329000000000001</v>
      </c>
      <c r="D101" s="18">
        <v>11.329000000000001</v>
      </c>
      <c r="E101" s="18">
        <v>2.347</v>
      </c>
      <c r="F101" s="19">
        <f t="shared" si="3"/>
        <v>268.43401964461532</v>
      </c>
      <c r="G101" s="20">
        <f t="shared" si="4"/>
        <v>-4.5091075441830997E-3</v>
      </c>
      <c r="H101" s="20" cm="1">
        <f t="array" ref="H101">PRODUCT(G101:G136+1)^(1/3)-1</f>
        <v>2.4068444633980723E-2</v>
      </c>
      <c r="I101" s="21">
        <f t="shared" si="5"/>
        <v>215.71631196811256</v>
      </c>
    </row>
    <row r="102" spans="1:9" x14ac:dyDescent="0.3">
      <c r="A102" s="17">
        <v>43008</v>
      </c>
      <c r="B102" s="18">
        <v>5619.2342669999998</v>
      </c>
      <c r="C102" s="18">
        <v>20.838999999999999</v>
      </c>
      <c r="D102" s="18">
        <v>11.34</v>
      </c>
      <c r="E102" s="18">
        <v>2.395</v>
      </c>
      <c r="F102" s="19">
        <f t="shared" si="3"/>
        <v>269.64990004318827</v>
      </c>
      <c r="G102" s="20">
        <f t="shared" si="4"/>
        <v>2.0579802565002581E-2</v>
      </c>
      <c r="H102" s="20" cm="1">
        <f t="array" ref="H102">PRODUCT(G102:G137+1)^(1/3)-1</f>
        <v>2.4442097182008959E-2</v>
      </c>
      <c r="I102" s="21">
        <f t="shared" si="5"/>
        <v>215.41396138135454</v>
      </c>
    </row>
    <row r="103" spans="1:9" x14ac:dyDescent="0.3">
      <c r="A103" s="17">
        <v>42978</v>
      </c>
      <c r="B103" s="18">
        <v>5495.8833759999998</v>
      </c>
      <c r="C103" s="18">
        <v>20.800999999999998</v>
      </c>
      <c r="D103" s="18">
        <v>11.077999999999999</v>
      </c>
      <c r="E103" s="18">
        <v>2.4329999999999998</v>
      </c>
      <c r="F103" s="19">
        <f t="shared" si="3"/>
        <v>264.21245978558721</v>
      </c>
      <c r="G103" s="20">
        <f t="shared" si="4"/>
        <v>3.9873876540077458E-2</v>
      </c>
      <c r="H103" s="20" cm="1">
        <f t="array" ref="H103">PRODUCT(G103:G138+1)^(1/3)-1</f>
        <v>1.3571787190573392E-2</v>
      </c>
      <c r="I103" s="21">
        <f t="shared" si="5"/>
        <v>215.07806246928314</v>
      </c>
    </row>
    <row r="104" spans="1:9" x14ac:dyDescent="0.3">
      <c r="A104" s="17">
        <v>42947</v>
      </c>
      <c r="B104" s="18">
        <v>5488.1551120000004</v>
      </c>
      <c r="C104" s="18">
        <v>21.6</v>
      </c>
      <c r="D104" s="18">
        <v>10.805999999999999</v>
      </c>
      <c r="E104" s="18">
        <v>2.4060000000000001</v>
      </c>
      <c r="F104" s="19">
        <f t="shared" si="3"/>
        <v>254.0812551851852</v>
      </c>
      <c r="G104" s="20">
        <f t="shared" si="4"/>
        <v>1.7343238683186213E-2</v>
      </c>
      <c r="H104" s="20" cm="1">
        <f t="array" ref="H104">PRODUCT(G104:G139+1)^(1/3)-1</f>
        <v>3.8759280946383257E-3</v>
      </c>
      <c r="I104" s="21">
        <f t="shared" si="5"/>
        <v>214.69365170122865</v>
      </c>
    </row>
    <row r="105" spans="1:9" x14ac:dyDescent="0.3">
      <c r="A105" s="17">
        <v>42916</v>
      </c>
      <c r="B105" s="18">
        <v>5359.8801370000001</v>
      </c>
      <c r="C105" s="18">
        <v>21.460999999999999</v>
      </c>
      <c r="D105" s="18">
        <v>10.808999999999999</v>
      </c>
      <c r="E105" s="18">
        <v>2.419</v>
      </c>
      <c r="F105" s="19">
        <f t="shared" si="3"/>
        <v>249.74978505195472</v>
      </c>
      <c r="G105" s="20">
        <f t="shared" si="4"/>
        <v>1.5120379876525814E-2</v>
      </c>
      <c r="H105" s="20" cm="1">
        <f t="array" ref="H105">PRODUCT(G105:G140+1)^(1/3)-1</f>
        <v>-4.0549590530308821E-3</v>
      </c>
      <c r="I105" s="21">
        <f t="shared" si="5"/>
        <v>214.38615120364702</v>
      </c>
    </row>
    <row r="106" spans="1:9" x14ac:dyDescent="0.3">
      <c r="A106" s="17">
        <v>42886</v>
      </c>
      <c r="B106" s="18">
        <v>5339.337031</v>
      </c>
      <c r="C106" s="18">
        <v>21.702000000000002</v>
      </c>
      <c r="D106" s="18">
        <v>10.691000000000001</v>
      </c>
      <c r="E106" s="18">
        <v>2.411</v>
      </c>
      <c r="F106" s="19">
        <f t="shared" si="3"/>
        <v>246.02972219150305</v>
      </c>
      <c r="G106" s="20">
        <f t="shared" si="4"/>
        <v>5.3386120437006968E-2</v>
      </c>
      <c r="H106" s="20" cm="1">
        <f t="array" ref="H106">PRODUCT(G106:G141+1)^(1/3)-1</f>
        <v>-8.0886121246361853E-3</v>
      </c>
      <c r="I106" s="21">
        <f t="shared" si="5"/>
        <v>214.09965970463216</v>
      </c>
    </row>
    <row r="107" spans="1:9" x14ac:dyDescent="0.3">
      <c r="A107" s="17">
        <v>42855</v>
      </c>
      <c r="B107" s="18">
        <v>5228.7259949999998</v>
      </c>
      <c r="C107" s="18">
        <v>22.387</v>
      </c>
      <c r="D107" s="18">
        <v>10.422000000000001</v>
      </c>
      <c r="E107" s="18">
        <v>2.4079999999999999</v>
      </c>
      <c r="F107" s="19">
        <f t="shared" si="3"/>
        <v>233.56081632197257</v>
      </c>
      <c r="G107" s="20">
        <f t="shared" si="4"/>
        <v>1.4344708568234665E-3</v>
      </c>
      <c r="H107" s="20" cm="1">
        <f t="array" ref="H107">PRODUCT(G107:G142+1)^(1/3)-1</f>
        <v>-2.3608475374240045E-2</v>
      </c>
      <c r="I107" s="21">
        <f t="shared" si="5"/>
        <v>213.8096927400338</v>
      </c>
    </row>
    <row r="108" spans="1:9" x14ac:dyDescent="0.3">
      <c r="A108" s="17">
        <v>42825</v>
      </c>
      <c r="B108" s="18">
        <v>5152.4345370000001</v>
      </c>
      <c r="C108" s="18">
        <v>22.091999999999999</v>
      </c>
      <c r="D108" s="18">
        <v>10.468999999999999</v>
      </c>
      <c r="E108" s="18">
        <v>2.4260000000000002</v>
      </c>
      <c r="F108" s="19">
        <f t="shared" si="3"/>
        <v>233.2262600488865</v>
      </c>
      <c r="G108" s="20">
        <f t="shared" si="4"/>
        <v>3.1466977125845563E-2</v>
      </c>
      <c r="H108" s="20" cm="1">
        <f t="array" ref="H108">PRODUCT(G108:G143+1)^(1/3)-1</f>
        <v>-2.3329093019090807E-2</v>
      </c>
      <c r="I108" s="21">
        <f t="shared" si="5"/>
        <v>213.62453791818041</v>
      </c>
    </row>
    <row r="109" spans="1:9" x14ac:dyDescent="0.3">
      <c r="A109" s="17">
        <v>42794</v>
      </c>
      <c r="B109" s="18">
        <v>5098.1297530000002</v>
      </c>
      <c r="C109" s="18">
        <v>22.547000000000001</v>
      </c>
      <c r="D109" s="18">
        <v>10.212</v>
      </c>
      <c r="E109" s="18">
        <v>2.4289999999999998</v>
      </c>
      <c r="F109" s="19">
        <f t="shared" si="3"/>
        <v>226.11122335565707</v>
      </c>
      <c r="G109" s="20">
        <f t="shared" si="4"/>
        <v>7.0946625100600791E-3</v>
      </c>
      <c r="H109" s="20" cm="1">
        <f t="array" ref="H109">PRODUCT(G109:G144+1)^(1/3)-1</f>
        <v>-2.5374940806161983E-2</v>
      </c>
      <c r="I109" s="21">
        <f t="shared" si="5"/>
        <v>213.409429465757</v>
      </c>
    </row>
    <row r="110" spans="1:9" x14ac:dyDescent="0.3">
      <c r="A110" s="17">
        <v>42766</v>
      </c>
      <c r="B110" s="18">
        <v>4960.508237</v>
      </c>
      <c r="C110" s="18">
        <v>22.094000000000001</v>
      </c>
      <c r="D110" s="18">
        <v>10.24</v>
      </c>
      <c r="E110" s="18">
        <v>2.4609999999999999</v>
      </c>
      <c r="F110" s="19">
        <f t="shared" si="3"/>
        <v>224.51834149542861</v>
      </c>
      <c r="G110" s="20">
        <f t="shared" si="4"/>
        <v>1.6440463802182448E-2</v>
      </c>
      <c r="H110" s="20" cm="1">
        <f t="array" ref="H110">PRODUCT(G110:G145+1)^(1/3)-1</f>
        <v>-2.2386099066668774E-2</v>
      </c>
      <c r="I110" s="21">
        <f t="shared" si="5"/>
        <v>213.18420131109167</v>
      </c>
    </row>
    <row r="111" spans="1:9" x14ac:dyDescent="0.3">
      <c r="A111" s="17">
        <v>42735</v>
      </c>
      <c r="B111" s="18">
        <v>4843.6070460000001</v>
      </c>
      <c r="C111" s="18">
        <v>21.928000000000001</v>
      </c>
      <c r="D111" s="18">
        <v>10.215</v>
      </c>
      <c r="E111" s="18">
        <v>2.48</v>
      </c>
      <c r="F111" s="19">
        <f t="shared" si="3"/>
        <v>220.88685908427581</v>
      </c>
      <c r="G111" s="20">
        <f t="shared" si="4"/>
        <v>5.9974970677485473E-3</v>
      </c>
      <c r="H111" s="20" cm="1">
        <f t="array" ref="H111">PRODUCT(G111:G146+1)^(1/3)-1</f>
        <v>-2.9028300981119304E-2</v>
      </c>
      <c r="I111" s="21">
        <f t="shared" si="5"/>
        <v>212.9554471697372</v>
      </c>
    </row>
    <row r="112" spans="1:9" x14ac:dyDescent="0.3">
      <c r="A112" s="17">
        <v>42704</v>
      </c>
      <c r="B112" s="18">
        <v>4730.4158369999996</v>
      </c>
      <c r="C112" s="18">
        <v>21.544</v>
      </c>
      <c r="D112" s="18">
        <v>9.93</v>
      </c>
      <c r="E112" s="18">
        <v>2.5920000000000001</v>
      </c>
      <c r="F112" s="19">
        <f t="shared" si="3"/>
        <v>219.56998872075749</v>
      </c>
      <c r="G112" s="20">
        <f t="shared" si="4"/>
        <v>1.4379021740744014E-2</v>
      </c>
      <c r="H112" s="20" cm="1">
        <f t="array" ref="H112">PRODUCT(G112:G147+1)^(1/3)-1</f>
        <v>-3.1054970163926998E-2</v>
      </c>
      <c r="I112" s="21">
        <f t="shared" si="5"/>
        <v>212.76160521135088</v>
      </c>
    </row>
    <row r="113" spans="1:9" x14ac:dyDescent="0.3">
      <c r="A113" s="17">
        <v>42674</v>
      </c>
      <c r="B113" s="18">
        <v>4663.3612640000001</v>
      </c>
      <c r="C113" s="18">
        <v>21.544</v>
      </c>
      <c r="D113" s="18">
        <v>9.93</v>
      </c>
      <c r="E113" s="18">
        <v>2.5920000000000001</v>
      </c>
      <c r="F113" s="19">
        <f t="shared" si="3"/>
        <v>216.45754103230598</v>
      </c>
      <c r="G113" s="20">
        <f t="shared" si="4"/>
        <v>-2.1219146831501501E-2</v>
      </c>
      <c r="H113" s="20" cm="1">
        <f t="array" ref="H113">PRODUCT(G113:G148+1)^(1/3)-1</f>
        <v>-5.4067359345863264E-2</v>
      </c>
      <c r="I113" s="21">
        <f t="shared" si="5"/>
        <v>212.57500367636663</v>
      </c>
    </row>
    <row r="114" spans="1:9" x14ac:dyDescent="0.3">
      <c r="A114" s="17">
        <v>42643</v>
      </c>
      <c r="B114" s="18">
        <v>4755.3918629999998</v>
      </c>
      <c r="C114" s="18">
        <v>21.503</v>
      </c>
      <c r="D114" s="18">
        <v>10.032</v>
      </c>
      <c r="E114" s="18">
        <v>2.5659999999999998</v>
      </c>
      <c r="F114" s="19">
        <f t="shared" si="3"/>
        <v>221.15015872203878</v>
      </c>
      <c r="G114" s="20">
        <f t="shared" si="4"/>
        <v>-3.9917550966011017E-3</v>
      </c>
      <c r="H114" s="20" cm="1">
        <f t="array" ref="H114">PRODUCT(G114:G149+1)^(1/3)-1</f>
        <v>-3.5008332915829499E-2</v>
      </c>
      <c r="I114" s="21">
        <f t="shared" si="5"/>
        <v>212.3656159245912</v>
      </c>
    </row>
    <row r="115" spans="1:9" x14ac:dyDescent="0.3">
      <c r="A115" s="17">
        <v>42613</v>
      </c>
      <c r="B115" s="18">
        <v>4730.2650409999997</v>
      </c>
      <c r="C115" s="18">
        <v>21.303999999999998</v>
      </c>
      <c r="D115" s="18">
        <v>10.193</v>
      </c>
      <c r="E115" s="18">
        <v>2.5550000000000002</v>
      </c>
      <c r="F115" s="19">
        <f t="shared" si="3"/>
        <v>222.03647394855426</v>
      </c>
      <c r="G115" s="20">
        <f t="shared" si="4"/>
        <v>-1.4436934139476221E-2</v>
      </c>
      <c r="H115" s="20" cm="1">
        <f t="array" ref="H115">PRODUCT(G115:G150+1)^(1/3)-1</f>
        <v>-1.7873444699824659E-2</v>
      </c>
      <c r="I115" s="21">
        <f t="shared" si="5"/>
        <v>212.10656206399361</v>
      </c>
    </row>
    <row r="116" spans="1:9" x14ac:dyDescent="0.3">
      <c r="A116" s="17">
        <v>42582</v>
      </c>
      <c r="B116" s="18">
        <v>4726.3370029999996</v>
      </c>
      <c r="C116" s="18">
        <v>20.978999999999999</v>
      </c>
      <c r="D116" s="18">
        <v>10.33</v>
      </c>
      <c r="E116" s="18">
        <v>2.57</v>
      </c>
      <c r="F116" s="19">
        <f t="shared" si="3"/>
        <v>225.2889557652891</v>
      </c>
      <c r="G116" s="20">
        <f t="shared" si="4"/>
        <v>2.6837469705243144E-4</v>
      </c>
      <c r="H116" s="20" cm="1">
        <f t="array" ref="H116">PRODUCT(G116:G151+1)^(1/3)-1</f>
        <v>-6.9235198864565639E-3</v>
      </c>
      <c r="I116" s="21">
        <f t="shared" si="5"/>
        <v>211.79189686649727</v>
      </c>
    </row>
    <row r="117" spans="1:9" x14ac:dyDescent="0.3">
      <c r="A117" s="17">
        <v>42551</v>
      </c>
      <c r="B117" s="18">
        <v>4534.7508230000003</v>
      </c>
      <c r="C117" s="18">
        <v>20.134</v>
      </c>
      <c r="D117" s="18">
        <v>10.353</v>
      </c>
      <c r="E117" s="18">
        <v>2.661</v>
      </c>
      <c r="F117" s="19">
        <f t="shared" si="3"/>
        <v>225.22851013211485</v>
      </c>
      <c r="G117" s="20">
        <f t="shared" si="4"/>
        <v>-2.7117278482781448E-2</v>
      </c>
      <c r="H117" s="20" cm="1">
        <f t="array" ref="H117">PRODUCT(G117:G152+1)^(1/3)-1</f>
        <v>-4.0753770720509674E-3</v>
      </c>
      <c r="I117" s="21">
        <f t="shared" si="5"/>
        <v>211.41849116221655</v>
      </c>
    </row>
    <row r="118" spans="1:9" x14ac:dyDescent="0.3">
      <c r="A118" s="17">
        <v>42521</v>
      </c>
      <c r="B118" s="18">
        <v>4586.1404329999996</v>
      </c>
      <c r="C118" s="18">
        <v>19.809999999999999</v>
      </c>
      <c r="D118" s="18">
        <v>10.595000000000001</v>
      </c>
      <c r="E118" s="18">
        <v>2.65</v>
      </c>
      <c r="F118" s="19">
        <f t="shared" si="3"/>
        <v>231.50633180212014</v>
      </c>
      <c r="G118" s="20">
        <f t="shared" si="4"/>
        <v>5.6166178349021934E-3</v>
      </c>
      <c r="H118" s="20" cm="1">
        <f t="array" ref="H118">PRODUCT(G118:G153+1)^(1/3)-1</f>
        <v>2.5189977307549238E-3</v>
      </c>
      <c r="I118" s="21">
        <f t="shared" si="5"/>
        <v>211.00299638008934</v>
      </c>
    </row>
    <row r="119" spans="1:9" x14ac:dyDescent="0.3">
      <c r="A119" s="17">
        <v>42490</v>
      </c>
      <c r="B119" s="18">
        <v>4560.5257030000002</v>
      </c>
      <c r="C119" s="18">
        <v>19.809999999999999</v>
      </c>
      <c r="D119" s="18">
        <v>10.595000000000001</v>
      </c>
      <c r="E119" s="18">
        <v>2.65</v>
      </c>
      <c r="F119" s="19">
        <f t="shared" si="3"/>
        <v>230.21331161029786</v>
      </c>
      <c r="G119" s="20">
        <f t="shared" si="4"/>
        <v>-1.0841259766031563E-2</v>
      </c>
      <c r="H119" s="20" cm="1">
        <f t="array" ref="H119">PRODUCT(G119:G154+1)^(1/3)-1</f>
        <v>-9.0160069465994308E-4</v>
      </c>
      <c r="I119" s="21">
        <f t="shared" si="5"/>
        <v>210.54377215700089</v>
      </c>
    </row>
    <row r="120" spans="1:9" x14ac:dyDescent="0.3">
      <c r="A120" s="17">
        <v>42460</v>
      </c>
      <c r="B120" s="18">
        <v>4489.4864699999998</v>
      </c>
      <c r="C120" s="18">
        <v>19.29</v>
      </c>
      <c r="D120" s="18">
        <v>10.843999999999999</v>
      </c>
      <c r="E120" s="18">
        <v>2.66</v>
      </c>
      <c r="F120" s="19">
        <f t="shared" si="3"/>
        <v>232.73646811819594</v>
      </c>
      <c r="G120" s="20">
        <f t="shared" si="4"/>
        <v>-2.4699785994218626E-2</v>
      </c>
      <c r="H120" s="20" cm="1">
        <f t="array" ref="H120">PRODUCT(G120:G155+1)^(1/3)-1</f>
        <v>-1.0973117526226983E-2</v>
      </c>
      <c r="I120" s="21">
        <f t="shared" si="5"/>
        <v>210.06794144377881</v>
      </c>
    </row>
    <row r="121" spans="1:9" x14ac:dyDescent="0.3">
      <c r="A121" s="17">
        <v>42429</v>
      </c>
      <c r="B121" s="18">
        <v>4204.1937820000003</v>
      </c>
      <c r="C121" s="18">
        <v>17.617999999999999</v>
      </c>
      <c r="D121" s="18">
        <v>11.212</v>
      </c>
      <c r="E121" s="18">
        <v>2.786</v>
      </c>
      <c r="F121" s="19">
        <f t="shared" si="3"/>
        <v>238.63059268929507</v>
      </c>
      <c r="G121" s="20">
        <f t="shared" si="4"/>
        <v>1.1374203749040745E-2</v>
      </c>
      <c r="H121" s="20" cm="1">
        <f t="array" ref="H121">PRODUCT(G121:G156+1)^(1/3)-1</f>
        <v>5.0332859387685058E-3</v>
      </c>
      <c r="I121" s="21">
        <f t="shared" si="5"/>
        <v>209.53208833384289</v>
      </c>
    </row>
    <row r="122" spans="1:9" x14ac:dyDescent="0.3">
      <c r="A122" s="17">
        <v>42400</v>
      </c>
      <c r="B122" s="18">
        <v>4235.7184749999997</v>
      </c>
      <c r="C122" s="18">
        <v>17.952000000000002</v>
      </c>
      <c r="D122" s="18">
        <v>11.3</v>
      </c>
      <c r="E122" s="18">
        <v>2.71</v>
      </c>
      <c r="F122" s="19">
        <f t="shared" si="3"/>
        <v>235.94688474821743</v>
      </c>
      <c r="G122" s="20">
        <f t="shared" si="4"/>
        <v>-3.996004783245577E-3</v>
      </c>
      <c r="H122" s="20" cm="1">
        <f t="array" ref="H122">PRODUCT(G122:G157+1)^(1/3)-1</f>
        <v>5.7343385469792452E-3</v>
      </c>
      <c r="I122" s="21">
        <f t="shared" si="5"/>
        <v>208.88711908786973</v>
      </c>
    </row>
    <row r="123" spans="1:9" x14ac:dyDescent="0.3">
      <c r="A123" s="17">
        <v>42369</v>
      </c>
      <c r="B123" s="18">
        <v>4505.2408180000002</v>
      </c>
      <c r="C123" s="18">
        <v>19.018000000000001</v>
      </c>
      <c r="D123" s="18">
        <v>11.298</v>
      </c>
      <c r="E123" s="18">
        <v>2.5710000000000002</v>
      </c>
      <c r="F123" s="19">
        <f t="shared" si="3"/>
        <v>236.89351235671469</v>
      </c>
      <c r="G123" s="20">
        <f t="shared" si="4"/>
        <v>-8.9201287461859735E-4</v>
      </c>
      <c r="H123" s="20" cm="1">
        <f t="array" ref="H123">PRODUCT(G123:G158+1)^(1/3)-1</f>
        <v>8.0763966177213042E-3</v>
      </c>
      <c r="I123" s="21">
        <f t="shared" si="5"/>
        <v>208.26531742965167</v>
      </c>
    </row>
    <row r="124" spans="1:9" x14ac:dyDescent="0.3">
      <c r="A124" s="17">
        <v>42338</v>
      </c>
      <c r="B124" s="18">
        <v>4585.8480579999996</v>
      </c>
      <c r="C124" s="18">
        <v>19.341000000000001</v>
      </c>
      <c r="D124" s="18">
        <v>11.388</v>
      </c>
      <c r="E124" s="18">
        <v>2.5009999999999999</v>
      </c>
      <c r="F124" s="19">
        <f t="shared" si="3"/>
        <v>237.10501308101956</v>
      </c>
      <c r="G124" s="20">
        <f t="shared" si="4"/>
        <v>-2.2827538322026775E-2</v>
      </c>
      <c r="H124" s="20" cm="1">
        <f t="array" ref="H124">PRODUCT(G124:G159+1)^(1/3)-1</f>
        <v>1.0800555896298913E-2</v>
      </c>
      <c r="I124" s="21">
        <f t="shared" si="5"/>
        <v>208.02474436303768</v>
      </c>
    </row>
    <row r="125" spans="1:9" x14ac:dyDescent="0.3">
      <c r="A125" s="17">
        <v>42308</v>
      </c>
      <c r="B125" s="18">
        <v>4608.7797140000002</v>
      </c>
      <c r="C125" s="18">
        <v>18.994</v>
      </c>
      <c r="D125" s="18">
        <v>11.519</v>
      </c>
      <c r="E125" s="18">
        <v>2.5</v>
      </c>
      <c r="F125" s="19">
        <f t="shared" si="3"/>
        <v>242.64397778245763</v>
      </c>
      <c r="G125" s="20">
        <f t="shared" si="4"/>
        <v>4.9800298444084845E-3</v>
      </c>
      <c r="H125" s="20" cm="1">
        <f t="array" ref="H125">PRODUCT(G125:G160+1)^(1/3)-1</f>
        <v>2.1304879315239722E-2</v>
      </c>
      <c r="I125" s="21">
        <f t="shared" si="5"/>
        <v>207.77830140780054</v>
      </c>
    </row>
    <row r="126" spans="1:9" x14ac:dyDescent="0.3">
      <c r="A126" s="17">
        <v>42277</v>
      </c>
      <c r="B126" s="18">
        <v>4270.3774279999998</v>
      </c>
      <c r="C126" s="18">
        <v>17.687000000000001</v>
      </c>
      <c r="D126" s="18">
        <v>11.465999999999999</v>
      </c>
      <c r="E126" s="18">
        <v>2.6859999999999999</v>
      </c>
      <c r="F126" s="19">
        <f t="shared" si="3"/>
        <v>241.44159145134842</v>
      </c>
      <c r="G126" s="20">
        <f t="shared" si="4"/>
        <v>-3.6678009363140252E-3</v>
      </c>
      <c r="H126" s="20" cm="1">
        <f t="array" ref="H126">PRODUCT(G126:G161+1)^(1/3)-1</f>
        <v>2.0404196170183519E-2</v>
      </c>
      <c r="I126" s="21">
        <f t="shared" si="5"/>
        <v>207.48030417382913</v>
      </c>
    </row>
    <row r="127" spans="1:9" x14ac:dyDescent="0.3">
      <c r="A127" s="17">
        <v>42247</v>
      </c>
      <c r="B127" s="18">
        <v>4433.9195330000002</v>
      </c>
      <c r="C127" s="18">
        <v>18.297000000000001</v>
      </c>
      <c r="D127" s="18">
        <v>11.518000000000001</v>
      </c>
      <c r="E127" s="18">
        <v>2.5760000000000001</v>
      </c>
      <c r="F127" s="19">
        <f t="shared" si="3"/>
        <v>242.33041116029952</v>
      </c>
      <c r="G127" s="20">
        <f t="shared" si="4"/>
        <v>1.1433078479174963E-3</v>
      </c>
      <c r="H127" s="20" cm="1">
        <f t="array" ref="H127">PRODUCT(G127:G162+1)^(1/3)-1</f>
        <v>2.4685448342262939E-2</v>
      </c>
      <c r="I127" s="21">
        <f t="shared" si="5"/>
        <v>207.18753445591946</v>
      </c>
    </row>
    <row r="128" spans="1:9" x14ac:dyDescent="0.3">
      <c r="A128" s="17">
        <v>42216</v>
      </c>
      <c r="B128" s="18">
        <v>4748.124777</v>
      </c>
      <c r="C128" s="18">
        <v>19.616</v>
      </c>
      <c r="D128" s="18">
        <v>11.662000000000001</v>
      </c>
      <c r="E128" s="18">
        <v>2.4060000000000001</v>
      </c>
      <c r="F128" s="19">
        <f t="shared" si="3"/>
        <v>242.05366930057096</v>
      </c>
      <c r="G128" s="20">
        <f t="shared" si="4"/>
        <v>-3.3783738808479402E-3</v>
      </c>
      <c r="H128" s="20" cm="1">
        <f t="array" ref="H128">PRODUCT(G128:G163+1)^(1/3)-1</f>
        <v>2.1162667360432597E-2</v>
      </c>
      <c r="I128" s="21">
        <f t="shared" si="5"/>
        <v>206.88194422370748</v>
      </c>
    </row>
    <row r="129" spans="1:9" x14ac:dyDescent="0.3">
      <c r="A129" s="17">
        <v>42185</v>
      </c>
      <c r="B129" s="18">
        <v>4664.3988019999997</v>
      </c>
      <c r="C129" s="18">
        <v>19.204999999999998</v>
      </c>
      <c r="D129" s="18">
        <v>11.670999999999999</v>
      </c>
      <c r="E129" s="18">
        <v>2.4569999999999999</v>
      </c>
      <c r="F129" s="19">
        <f t="shared" si="3"/>
        <v>242.87418911741736</v>
      </c>
      <c r="G129" s="20">
        <f t="shared" si="4"/>
        <v>6.5510916433213495E-3</v>
      </c>
      <c r="H129" s="20" cm="1">
        <f t="array" ref="H129">PRODUCT(G129:G164+1)^(1/3)-1</f>
        <v>2.181456328154785E-2</v>
      </c>
      <c r="I129" s="21">
        <f t="shared" si="5"/>
        <v>206.57342031952447</v>
      </c>
    </row>
    <row r="130" spans="1:9" x14ac:dyDescent="0.3">
      <c r="A130" s="17">
        <v>42155</v>
      </c>
      <c r="B130" s="18">
        <v>4775.4387399999996</v>
      </c>
      <c r="C130" s="18">
        <v>19.791</v>
      </c>
      <c r="D130" s="18">
        <v>11.673</v>
      </c>
      <c r="E130" s="18">
        <v>2.38</v>
      </c>
      <c r="F130" s="19">
        <f t="shared" si="3"/>
        <v>241.29345359001564</v>
      </c>
      <c r="G130" s="20">
        <f t="shared" si="4"/>
        <v>-1.764735008052587E-2</v>
      </c>
      <c r="H130" s="20" cm="1">
        <f t="array" ref="H130">PRODUCT(G130:G165+1)^(1/3)-1</f>
        <v>2.6948254233168933E-2</v>
      </c>
      <c r="I130" s="21">
        <f t="shared" si="5"/>
        <v>206.2521745779502</v>
      </c>
    </row>
    <row r="131" spans="1:9" x14ac:dyDescent="0.3">
      <c r="A131" s="17">
        <v>42124</v>
      </c>
      <c r="B131" s="18">
        <v>4759.0451999999996</v>
      </c>
      <c r="C131" s="18">
        <v>19.375</v>
      </c>
      <c r="D131" s="18">
        <v>11.862</v>
      </c>
      <c r="E131" s="18">
        <v>2.3740000000000001</v>
      </c>
      <c r="F131" s="19">
        <f t="shared" ref="F131:F194" si="6">B131/C131</f>
        <v>245.62813935483868</v>
      </c>
      <c r="G131" s="20">
        <f t="shared" ref="G131:G194" si="7">F131/F132-1</f>
        <v>1.8223071850906658E-2</v>
      </c>
      <c r="H131" s="20" cm="1">
        <f t="array" ref="H131">PRODUCT(G131:G166+1)^(1/3)-1</f>
        <v>3.3190958055272279E-2</v>
      </c>
      <c r="I131" s="21">
        <f t="shared" ref="I131:I194" si="8">AVERAGE(F131:F250)</f>
        <v>205.93930601534251</v>
      </c>
    </row>
    <row r="132" spans="1:9" x14ac:dyDescent="0.3">
      <c r="A132" s="17">
        <v>42094</v>
      </c>
      <c r="B132" s="18">
        <v>4649.9908960000002</v>
      </c>
      <c r="C132" s="18">
        <v>19.276</v>
      </c>
      <c r="D132" s="18">
        <v>11.82</v>
      </c>
      <c r="E132" s="18">
        <v>2.3650000000000002</v>
      </c>
      <c r="F132" s="19">
        <f t="shared" si="6"/>
        <v>241.23214857854327</v>
      </c>
      <c r="G132" s="20">
        <f t="shared" si="7"/>
        <v>-4.0216249396945569E-2</v>
      </c>
      <c r="H132" s="20" cm="1">
        <f t="array" ref="H132">PRODUCT(G132:G167+1)^(1/3)-1</f>
        <v>2.8009642186628048E-2</v>
      </c>
      <c r="I132" s="21">
        <f t="shared" si="8"/>
        <v>205.58174895822992</v>
      </c>
    </row>
    <row r="133" spans="1:9" x14ac:dyDescent="0.3">
      <c r="A133" s="17">
        <v>42063</v>
      </c>
      <c r="B133" s="18">
        <v>4723.9372720000001</v>
      </c>
      <c r="C133" s="18">
        <v>18.795000000000002</v>
      </c>
      <c r="D133" s="18">
        <v>12.207000000000001</v>
      </c>
      <c r="E133" s="18">
        <v>2.3340000000000001</v>
      </c>
      <c r="F133" s="19">
        <f t="shared" si="6"/>
        <v>251.34010492152166</v>
      </c>
      <c r="G133" s="20">
        <f t="shared" si="7"/>
        <v>7.1658378391332711E-3</v>
      </c>
      <c r="H133" s="20" cm="1">
        <f t="array" ref="H133">PRODUCT(G133:G168+1)^(1/3)-1</f>
        <v>3.9490249372273079E-2</v>
      </c>
      <c r="I133" s="21">
        <f t="shared" si="8"/>
        <v>205.25765441622707</v>
      </c>
    </row>
    <row r="134" spans="1:9" x14ac:dyDescent="0.3">
      <c r="A134" s="17">
        <v>42035</v>
      </c>
      <c r="B134" s="18">
        <v>4462.4863029999997</v>
      </c>
      <c r="C134" s="18">
        <v>17.882000000000001</v>
      </c>
      <c r="D134" s="18">
        <v>12.182</v>
      </c>
      <c r="E134" s="18">
        <v>2.4380000000000002</v>
      </c>
      <c r="F134" s="19">
        <f t="shared" si="6"/>
        <v>249.55185678335752</v>
      </c>
      <c r="G134" s="20">
        <f t="shared" si="7"/>
        <v>-9.0596943001710617E-3</v>
      </c>
      <c r="H134" s="20" cm="1">
        <f t="array" ref="H134">PRODUCT(G134:G169+1)^(1/3)-1</f>
        <v>3.4585939003537902E-2</v>
      </c>
      <c r="I134" s="21">
        <f t="shared" si="8"/>
        <v>204.83487964094911</v>
      </c>
    </row>
    <row r="135" spans="1:9" x14ac:dyDescent="0.3">
      <c r="A135" s="17">
        <v>42004</v>
      </c>
      <c r="B135" s="18">
        <v>4544.8371950000001</v>
      </c>
      <c r="C135" s="18">
        <v>18.047000000000001</v>
      </c>
      <c r="D135" s="18">
        <v>12.145</v>
      </c>
      <c r="E135" s="22">
        <v>2.5044015432383659</v>
      </c>
      <c r="F135" s="19">
        <f t="shared" si="6"/>
        <v>251.83339031417964</v>
      </c>
      <c r="G135" s="20">
        <f t="shared" si="7"/>
        <v>-5.2761572112786093E-3</v>
      </c>
      <c r="H135" s="20" cm="1">
        <f t="array" ref="H135">PRODUCT(G135:G170+1)^(1/3)-1</f>
        <v>3.9793721829146422E-2</v>
      </c>
      <c r="I135" s="21">
        <f t="shared" si="8"/>
        <v>204.42083355629723</v>
      </c>
    </row>
    <row r="136" spans="1:9" x14ac:dyDescent="0.3">
      <c r="A136" s="17">
        <v>41973</v>
      </c>
      <c r="B136" s="18">
        <v>4619.3243210000001</v>
      </c>
      <c r="C136" s="18">
        <v>18.245999999999999</v>
      </c>
      <c r="D136" s="18">
        <v>12.143000000000001</v>
      </c>
      <c r="E136" s="22">
        <v>2.5041205438647518</v>
      </c>
      <c r="F136" s="19">
        <f t="shared" si="6"/>
        <v>253.16915055354602</v>
      </c>
      <c r="G136" s="20">
        <f t="shared" si="7"/>
        <v>1.288509889271916E-2</v>
      </c>
      <c r="H136" s="20" cm="1">
        <f t="array" ref="H136">PRODUCT(G136:G171+1)^(1/3)-1</f>
        <v>3.6193328001965952E-2</v>
      </c>
      <c r="I136" s="21">
        <f t="shared" si="8"/>
        <v>203.9777255492142</v>
      </c>
    </row>
    <row r="137" spans="1:9" x14ac:dyDescent="0.3">
      <c r="A137" s="17">
        <v>41943</v>
      </c>
      <c r="B137" s="18">
        <v>4528.5676279999998</v>
      </c>
      <c r="C137" s="18">
        <v>18.117999999999999</v>
      </c>
      <c r="D137" s="18">
        <v>12.007</v>
      </c>
      <c r="E137" s="22">
        <v>2.5208509249952771</v>
      </c>
      <c r="F137" s="19">
        <f t="shared" si="6"/>
        <v>249.94853891157965</v>
      </c>
      <c r="G137" s="20">
        <f t="shared" si="7"/>
        <v>-3.4190335933501625E-3</v>
      </c>
      <c r="H137" s="20" cm="1">
        <f t="array" ref="H137">PRODUCT(G137:G172+1)^(1/3)-1</f>
        <v>3.0957464730065443E-2</v>
      </c>
      <c r="I137" s="21">
        <f t="shared" si="8"/>
        <v>203.51365550200353</v>
      </c>
    </row>
    <row r="138" spans="1:9" x14ac:dyDescent="0.3">
      <c r="A138" s="17">
        <v>41912</v>
      </c>
      <c r="B138" s="18">
        <v>4499.4605949999996</v>
      </c>
      <c r="C138" s="18">
        <v>17.940000000000001</v>
      </c>
      <c r="D138" s="18">
        <v>11.997999999999999</v>
      </c>
      <c r="E138" s="22">
        <v>2.5208639570554192</v>
      </c>
      <c r="F138" s="19">
        <f t="shared" si="6"/>
        <v>250.80605323299883</v>
      </c>
      <c r="G138" s="20">
        <f t="shared" si="7"/>
        <v>-1.156467024736163E-2</v>
      </c>
      <c r="H138" s="20" cm="1">
        <f t="array" ref="H138">PRODUCT(G138:G173+1)^(1/3)-1</f>
        <v>3.75732998549696E-2</v>
      </c>
      <c r="I138" s="21">
        <f t="shared" si="8"/>
        <v>203.07141851715042</v>
      </c>
    </row>
    <row r="139" spans="1:9" x14ac:dyDescent="0.3">
      <c r="A139" s="17">
        <v>41882</v>
      </c>
      <c r="B139" s="18">
        <v>4624.9276959999997</v>
      </c>
      <c r="C139" s="18">
        <v>18.227</v>
      </c>
      <c r="D139" s="18">
        <v>12.004</v>
      </c>
      <c r="E139" s="22">
        <v>2.5263519638737408</v>
      </c>
      <c r="F139" s="19">
        <f t="shared" si="6"/>
        <v>253.74047819169363</v>
      </c>
      <c r="G139" s="20">
        <f t="shared" si="7"/>
        <v>1.0316042461574471E-2</v>
      </c>
      <c r="H139" s="20" cm="1">
        <f t="array" ref="H139">PRODUCT(G139:G174+1)^(1/3)-1</f>
        <v>3.5174822502460401E-2</v>
      </c>
      <c r="I139" s="21">
        <f t="shared" si="8"/>
        <v>202.61243164488269</v>
      </c>
    </row>
    <row r="140" spans="1:9" x14ac:dyDescent="0.3">
      <c r="A140" s="17">
        <v>41851</v>
      </c>
      <c r="B140" s="18">
        <v>4525.2136399999999</v>
      </c>
      <c r="C140" s="18">
        <v>18.018000000000001</v>
      </c>
      <c r="D140" s="18">
        <v>11.955</v>
      </c>
      <c r="E140" s="22">
        <v>2.5422883810637842</v>
      </c>
      <c r="F140" s="19">
        <f t="shared" si="6"/>
        <v>251.14960816960814</v>
      </c>
      <c r="G140" s="20">
        <f t="shared" si="7"/>
        <v>-6.5786204042167507E-3</v>
      </c>
      <c r="H140" s="20" cm="1">
        <f t="array" ref="H140">PRODUCT(G140:G175+1)^(1/3)-1</f>
        <v>3.922730894690174E-2</v>
      </c>
      <c r="I140" s="21">
        <f t="shared" si="8"/>
        <v>202.11604284345731</v>
      </c>
    </row>
    <row r="141" spans="1:9" x14ac:dyDescent="0.3">
      <c r="A141" s="17">
        <v>41820</v>
      </c>
      <c r="B141" s="18">
        <v>4598.6642389999997</v>
      </c>
      <c r="C141" s="18">
        <v>18.190000000000001</v>
      </c>
      <c r="D141" s="18">
        <v>11.949</v>
      </c>
      <c r="E141" s="22">
        <v>2.5467484156729725</v>
      </c>
      <c r="F141" s="19">
        <f t="shared" si="6"/>
        <v>252.81276739967012</v>
      </c>
      <c r="G141" s="20">
        <f t="shared" si="7"/>
        <v>2.8363218953948444E-3</v>
      </c>
      <c r="H141" s="20" cm="1">
        <f t="array" ref="H141">PRODUCT(G141:G176+1)^(1/3)-1</f>
        <v>3.6424137102617271E-2</v>
      </c>
      <c r="I141" s="21">
        <f t="shared" si="8"/>
        <v>201.63532161476959</v>
      </c>
    </row>
    <row r="142" spans="1:9" x14ac:dyDescent="0.3">
      <c r="A142" s="17">
        <v>41790</v>
      </c>
      <c r="B142" s="18">
        <v>4517.8435460000001</v>
      </c>
      <c r="C142" s="18">
        <v>17.920999999999999</v>
      </c>
      <c r="D142" s="18">
        <v>11.984999999999999</v>
      </c>
      <c r="E142" s="22">
        <v>2.5524869766432312</v>
      </c>
      <c r="F142" s="19">
        <f t="shared" si="6"/>
        <v>252.09773706824396</v>
      </c>
      <c r="G142" s="20">
        <f t="shared" si="7"/>
        <v>4.7105570602896663E-3</v>
      </c>
      <c r="H142" s="20" cm="1">
        <f t="array" ref="H142">PRODUCT(G142:G177+1)^(1/3)-1</f>
        <v>3.955851411091027E-2</v>
      </c>
      <c r="I142" s="21">
        <f t="shared" si="8"/>
        <v>201.12861423076069</v>
      </c>
    </row>
    <row r="143" spans="1:9" x14ac:dyDescent="0.3">
      <c r="A143" s="17">
        <v>41759</v>
      </c>
      <c r="B143" s="18">
        <v>4430.6709129999999</v>
      </c>
      <c r="C143" s="18">
        <v>17.658000000000001</v>
      </c>
      <c r="D143" s="18">
        <v>11.95</v>
      </c>
      <c r="E143" s="22">
        <v>2.5359900309541494</v>
      </c>
      <c r="F143" s="19">
        <f t="shared" si="6"/>
        <v>250.91578395061725</v>
      </c>
      <c r="G143" s="20">
        <f t="shared" si="7"/>
        <v>2.2943611100203487E-3</v>
      </c>
      <c r="H143" s="20" cm="1">
        <f t="array" ref="H143">PRODUCT(G143:G178+1)^(1/3)-1</f>
        <v>4.6533088870665429E-2</v>
      </c>
      <c r="I143" s="21">
        <f t="shared" si="8"/>
        <v>200.61892300238588</v>
      </c>
    </row>
    <row r="144" spans="1:9" x14ac:dyDescent="0.3">
      <c r="A144" s="17">
        <v>41729</v>
      </c>
      <c r="B144" s="18">
        <v>4385.7311680000003</v>
      </c>
      <c r="C144" s="18">
        <v>17.518999999999998</v>
      </c>
      <c r="D144" s="18">
        <v>12.032999999999999</v>
      </c>
      <c r="E144" s="22">
        <v>2.5980470442708015</v>
      </c>
      <c r="F144" s="19">
        <f t="shared" si="6"/>
        <v>250.34141035447232</v>
      </c>
      <c r="G144" s="20">
        <f t="shared" si="7"/>
        <v>2.4998655450858553E-2</v>
      </c>
      <c r="H144" s="20" cm="1">
        <f t="array" ref="H144">PRODUCT(G144:G179+1)^(1/3)-1</f>
        <v>5.5579392664365734E-2</v>
      </c>
      <c r="I144" s="21">
        <f t="shared" si="8"/>
        <v>200.11087390189869</v>
      </c>
    </row>
    <row r="145" spans="1:9" x14ac:dyDescent="0.3">
      <c r="A145" s="17">
        <v>41698</v>
      </c>
      <c r="B145" s="18">
        <v>4379.392895</v>
      </c>
      <c r="C145" s="18">
        <v>17.931000000000001</v>
      </c>
      <c r="D145" s="18">
        <v>11.9</v>
      </c>
      <c r="E145" s="22">
        <v>2.6053109288209919</v>
      </c>
      <c r="F145" s="19">
        <f t="shared" si="6"/>
        <v>244.23584267469744</v>
      </c>
      <c r="G145" s="20">
        <f t="shared" si="7"/>
        <v>1.638834961687663E-2</v>
      </c>
      <c r="H145" s="20" cm="1">
        <f t="array" ref="H145">PRODUCT(G145:G180+1)^(1/3)-1</f>
        <v>7.5083186188479756E-2</v>
      </c>
      <c r="I145" s="21">
        <f t="shared" si="8"/>
        <v>199.5983174074847</v>
      </c>
    </row>
    <row r="146" spans="1:9" x14ac:dyDescent="0.3">
      <c r="A146" s="17">
        <v>41670</v>
      </c>
      <c r="B146" s="18">
        <v>4170.6079049999998</v>
      </c>
      <c r="C146" s="18">
        <v>17.356000000000002</v>
      </c>
      <c r="D146" s="18">
        <v>11.996</v>
      </c>
      <c r="E146" s="22">
        <v>2.6065283613827983</v>
      </c>
      <c r="F146" s="19">
        <f t="shared" si="6"/>
        <v>240.2977589882461</v>
      </c>
      <c r="G146" s="20">
        <f t="shared" si="7"/>
        <v>-4.1370943346746847E-3</v>
      </c>
      <c r="H146" s="20" cm="1">
        <f t="array" ref="H146">PRODUCT(G146:G181+1)^(1/3)-1</f>
        <v>7.3732368893707267E-2</v>
      </c>
      <c r="I146" s="21">
        <f t="shared" si="8"/>
        <v>199.13813673462681</v>
      </c>
    </row>
    <row r="147" spans="1:9" x14ac:dyDescent="0.3">
      <c r="A147" s="17">
        <v>41639</v>
      </c>
      <c r="B147" s="18">
        <v>4331.0223239999996</v>
      </c>
      <c r="C147" s="18">
        <v>17.949000000000002</v>
      </c>
      <c r="D147" s="18">
        <v>12.025</v>
      </c>
      <c r="E147" s="22">
        <v>2.6315385568059568</v>
      </c>
      <c r="F147" s="19">
        <f t="shared" si="6"/>
        <v>241.29602339963225</v>
      </c>
      <c r="G147" s="20">
        <f t="shared" si="7"/>
        <v>-2.886950055526194E-4</v>
      </c>
      <c r="H147" s="20" cm="1">
        <f t="array" ref="H147">PRODUCT(G147:G182+1)^(1/3)-1</f>
        <v>7.6699900146203426E-2</v>
      </c>
      <c r="I147" s="21">
        <f t="shared" si="8"/>
        <v>198.70939066948495</v>
      </c>
    </row>
    <row r="148" spans="1:9" x14ac:dyDescent="0.3">
      <c r="A148" s="17">
        <v>41608</v>
      </c>
      <c r="B148" s="18">
        <v>4241.2781590000004</v>
      </c>
      <c r="C148" s="18">
        <v>17.571999999999999</v>
      </c>
      <c r="D148" s="18">
        <v>12.064</v>
      </c>
      <c r="E148" s="22">
        <v>2.6689699779889553</v>
      </c>
      <c r="F148" s="19">
        <f t="shared" si="6"/>
        <v>241.36570447302529</v>
      </c>
      <c r="G148" s="20">
        <f t="shared" si="7"/>
        <v>-5.6192387712680314E-2</v>
      </c>
      <c r="H148" s="20" cm="1">
        <f t="array" ref="H148">PRODUCT(G148:G183+1)^(1/3)-1</f>
        <v>8.4451724696603003E-2</v>
      </c>
      <c r="I148" s="21">
        <f t="shared" si="8"/>
        <v>198.26111032495709</v>
      </c>
    </row>
    <row r="149" spans="1:9" x14ac:dyDescent="0.3">
      <c r="A149" s="17">
        <v>41578</v>
      </c>
      <c r="B149" s="18">
        <v>4167.2202079999997</v>
      </c>
      <c r="C149" s="18">
        <v>16.295000000000002</v>
      </c>
      <c r="D149" s="18">
        <v>11.904999999999999</v>
      </c>
      <c r="E149" s="22">
        <v>2.7029928917043478</v>
      </c>
      <c r="F149" s="19">
        <f t="shared" si="6"/>
        <v>255.73612813746544</v>
      </c>
      <c r="G149" s="20">
        <f t="shared" si="7"/>
        <v>3.9143486254864968E-2</v>
      </c>
      <c r="H149" s="20" cm="1">
        <f t="array" ref="H149">PRODUCT(G149:G184+1)^(1/3)-1</f>
        <v>0.12224648770071278</v>
      </c>
      <c r="I149" s="21">
        <f t="shared" si="8"/>
        <v>197.80255081274362</v>
      </c>
    </row>
    <row r="150" spans="1:9" x14ac:dyDescent="0.3">
      <c r="A150" s="17">
        <v>41547</v>
      </c>
      <c r="B150" s="18">
        <v>4010.2452290000001</v>
      </c>
      <c r="C150" s="18">
        <v>16.295000000000002</v>
      </c>
      <c r="D150" s="18">
        <v>11.904999999999999</v>
      </c>
      <c r="E150" s="22">
        <v>2.7179563151834563</v>
      </c>
      <c r="F150" s="19">
        <f t="shared" si="6"/>
        <v>246.10280632095734</v>
      </c>
      <c r="G150" s="20">
        <f t="shared" si="7"/>
        <v>5.001283029360315E-2</v>
      </c>
      <c r="H150" s="20" cm="1">
        <f t="array" ref="H150">PRODUCT(G150:G185+1)^(1/3)-1</f>
        <v>0.11307406605396619</v>
      </c>
      <c r="I150" s="21">
        <f t="shared" si="8"/>
        <v>197.17960912107995</v>
      </c>
    </row>
    <row r="151" spans="1:9" x14ac:dyDescent="0.3">
      <c r="A151" s="17">
        <v>41517</v>
      </c>
      <c r="B151" s="18">
        <v>3819.2345019999998</v>
      </c>
      <c r="C151" s="18">
        <v>16.295000000000002</v>
      </c>
      <c r="D151" s="18">
        <v>11.904999999999999</v>
      </c>
      <c r="E151" s="22">
        <v>2.7661935922967062</v>
      </c>
      <c r="F151" s="19">
        <f t="shared" si="6"/>
        <v>234.38076109235959</v>
      </c>
      <c r="G151" s="20">
        <f t="shared" si="7"/>
        <v>1.889667942297546E-2</v>
      </c>
      <c r="H151" s="20" cm="1">
        <f t="array" ref="H151">PRODUCT(G151:G186+1)^(1/3)-1</f>
        <v>0.10604928294397586</v>
      </c>
      <c r="I151" s="21">
        <f t="shared" si="8"/>
        <v>196.6478352384726</v>
      </c>
    </row>
    <row r="152" spans="1:9" x14ac:dyDescent="0.3">
      <c r="A152" s="17">
        <v>41486</v>
      </c>
      <c r="B152" s="18">
        <v>3902.294817</v>
      </c>
      <c r="C152" s="18">
        <v>16.963999999999999</v>
      </c>
      <c r="D152" s="18">
        <v>11.726000000000001</v>
      </c>
      <c r="E152" s="22">
        <v>2.8035132933034834</v>
      </c>
      <c r="F152" s="19">
        <f t="shared" si="6"/>
        <v>230.03388452016034</v>
      </c>
      <c r="G152" s="20">
        <f t="shared" si="7"/>
        <v>8.899388671864239E-3</v>
      </c>
      <c r="H152" s="20" cm="1">
        <f t="array" ref="H152">PRODUCT(G152:G187+1)^(1/3)-1</f>
        <v>0.12391163086225987</v>
      </c>
      <c r="I152" s="21">
        <f t="shared" si="8"/>
        <v>196.23318770161666</v>
      </c>
    </row>
    <row r="153" spans="1:9" x14ac:dyDescent="0.3">
      <c r="A153" s="17">
        <v>41455</v>
      </c>
      <c r="B153" s="18">
        <v>3707.1297399999999</v>
      </c>
      <c r="C153" s="18">
        <v>16.259</v>
      </c>
      <c r="D153" s="18">
        <v>11.73</v>
      </c>
      <c r="E153" s="22">
        <v>2.8127003522193439</v>
      </c>
      <c r="F153" s="19">
        <f t="shared" si="6"/>
        <v>228.00478135186665</v>
      </c>
      <c r="G153" s="20">
        <f t="shared" si="7"/>
        <v>-7.6636172385866619E-3</v>
      </c>
      <c r="H153" s="20" cm="1">
        <f t="array" ref="H153">PRODUCT(G153:G188+1)^(1/3)-1</f>
        <v>0.12991593393305312</v>
      </c>
      <c r="I153" s="21">
        <f t="shared" si="8"/>
        <v>195.85762440363288</v>
      </c>
    </row>
    <row r="154" spans="1:9" x14ac:dyDescent="0.3">
      <c r="A154" s="17">
        <v>41425</v>
      </c>
      <c r="B154" s="18">
        <v>3800.7828380000001</v>
      </c>
      <c r="C154" s="18">
        <v>16.542000000000002</v>
      </c>
      <c r="D154" s="18">
        <v>11.837</v>
      </c>
      <c r="E154" s="22">
        <v>2.828716073638482</v>
      </c>
      <c r="F154" s="19">
        <f t="shared" si="6"/>
        <v>229.76561709587713</v>
      </c>
      <c r="G154" s="20">
        <f t="shared" si="7"/>
        <v>-4.6418031912910385E-3</v>
      </c>
      <c r="H154" s="20" cm="1">
        <f t="array" ref="H154">PRODUCT(G154:G189+1)^(1/3)-1</f>
        <v>0.15194217928444154</v>
      </c>
      <c r="I154" s="21">
        <f t="shared" si="8"/>
        <v>195.49642039297851</v>
      </c>
    </row>
    <row r="155" spans="1:9" x14ac:dyDescent="0.3">
      <c r="A155" s="17">
        <v>41394</v>
      </c>
      <c r="B155" s="18">
        <v>3799.3481179999999</v>
      </c>
      <c r="C155" s="18">
        <v>16.459</v>
      </c>
      <c r="D155" s="18">
        <v>11.946999999999999</v>
      </c>
      <c r="E155" s="22">
        <v>2.9174051394198486</v>
      </c>
      <c r="F155" s="19">
        <f t="shared" si="6"/>
        <v>230.83711756485812</v>
      </c>
      <c r="G155" s="20">
        <f t="shared" si="7"/>
        <v>-4.0454679384874459E-2</v>
      </c>
      <c r="H155" s="20" cm="1">
        <f t="array" ref="H155">PRODUCT(G155:G190+1)^(1/3)-1</f>
        <v>0.18296183527009413</v>
      </c>
      <c r="I155" s="21">
        <f t="shared" si="8"/>
        <v>195.10699770317285</v>
      </c>
    </row>
    <row r="156" spans="1:9" x14ac:dyDescent="0.3">
      <c r="A156" s="17">
        <v>41364</v>
      </c>
      <c r="B156" s="18">
        <v>3683.3560969999999</v>
      </c>
      <c r="C156" s="18">
        <v>15.311</v>
      </c>
      <c r="D156" s="18">
        <v>12.223000000000001</v>
      </c>
      <c r="E156" s="22">
        <v>2.9196179634859876</v>
      </c>
      <c r="F156" s="19">
        <f t="shared" si="6"/>
        <v>240.56927026320946</v>
      </c>
      <c r="G156" s="20">
        <f t="shared" si="7"/>
        <v>2.3423458345014359E-2</v>
      </c>
      <c r="H156" s="20" cm="1">
        <f t="array" ref="H156">PRODUCT(G156:G191+1)^(1/3)-1</f>
        <v>0.20872676516329935</v>
      </c>
      <c r="I156" s="21">
        <f t="shared" si="8"/>
        <v>194.69630667027991</v>
      </c>
    </row>
    <row r="157" spans="1:9" x14ac:dyDescent="0.3">
      <c r="A157" s="17">
        <v>41333</v>
      </c>
      <c r="B157" s="18">
        <v>3599.0538099999999</v>
      </c>
      <c r="C157" s="18">
        <v>15.311</v>
      </c>
      <c r="D157" s="18">
        <v>12.223000000000001</v>
      </c>
      <c r="E157" s="22">
        <v>2.9340133126110057</v>
      </c>
      <c r="F157" s="19">
        <f t="shared" si="6"/>
        <v>235.06327542289856</v>
      </c>
      <c r="G157" s="20">
        <f t="shared" si="7"/>
        <v>1.3492107376386508E-2</v>
      </c>
      <c r="H157" s="20" cm="1">
        <f t="array" ref="H157">PRODUCT(G157:G192+1)^(1/3)-1</f>
        <v>0.33416259861364606</v>
      </c>
      <c r="I157" s="21">
        <f t="shared" si="8"/>
        <v>194.16290011687374</v>
      </c>
    </row>
    <row r="158" spans="1:9" x14ac:dyDescent="0.3">
      <c r="A158" s="17">
        <v>41305</v>
      </c>
      <c r="B158" s="18">
        <v>3593.121482</v>
      </c>
      <c r="C158" s="18">
        <v>15.492000000000001</v>
      </c>
      <c r="D158" s="18">
        <v>12.02</v>
      </c>
      <c r="E158" s="22">
        <v>2.966889210023127</v>
      </c>
      <c r="F158" s="19">
        <f t="shared" si="6"/>
        <v>231.93399703072552</v>
      </c>
      <c r="G158" s="20">
        <f t="shared" si="7"/>
        <v>2.9784083085739876E-3</v>
      </c>
      <c r="H158" s="20" cm="1">
        <f t="array" ref="H158">PRODUCT(G158:G193+1)^(1/3)-1</f>
        <v>0.33442780872794753</v>
      </c>
      <c r="I158" s="21">
        <f t="shared" si="8"/>
        <v>193.68171923092046</v>
      </c>
    </row>
    <row r="159" spans="1:9" x14ac:dyDescent="0.3">
      <c r="A159" s="17">
        <v>41274</v>
      </c>
      <c r="B159" s="18">
        <v>3418.961084</v>
      </c>
      <c r="C159" s="18">
        <v>14.785</v>
      </c>
      <c r="D159" s="18">
        <v>11.958</v>
      </c>
      <c r="E159" s="22">
        <v>2.9632835777511968</v>
      </c>
      <c r="F159" s="19">
        <f t="shared" si="6"/>
        <v>231.24525424416638</v>
      </c>
      <c r="G159" s="20">
        <f t="shared" si="7"/>
        <v>7.2296660473198937E-3</v>
      </c>
      <c r="H159" s="20" cm="1">
        <f t="array" ref="H159">PRODUCT(G159:G194+1)^(1/3)-1</f>
        <v>0.33051054566351801</v>
      </c>
      <c r="I159" s="21">
        <f t="shared" si="8"/>
        <v>193.22633497139898</v>
      </c>
    </row>
    <row r="160" spans="1:9" x14ac:dyDescent="0.3">
      <c r="A160" s="17">
        <v>41243</v>
      </c>
      <c r="B160" s="18">
        <v>3355.8502050000002</v>
      </c>
      <c r="C160" s="18">
        <v>14.617000000000001</v>
      </c>
      <c r="D160" s="18">
        <v>11.836</v>
      </c>
      <c r="E160" s="22">
        <v>2.9321426566979447</v>
      </c>
      <c r="F160" s="19">
        <f t="shared" si="6"/>
        <v>229.58542826845454</v>
      </c>
      <c r="G160" s="20">
        <f t="shared" si="7"/>
        <v>7.9547211286954411E-3</v>
      </c>
      <c r="H160" s="20" cm="1">
        <f t="array" ref="H160">PRODUCT(G160:G195+1)^(1/3)-1</f>
        <v>0.30717399098654807</v>
      </c>
      <c r="I160" s="21">
        <f t="shared" si="8"/>
        <v>192.76827570305238</v>
      </c>
    </row>
    <row r="161" spans="1:9" x14ac:dyDescent="0.3">
      <c r="A161" s="17">
        <v>41213</v>
      </c>
      <c r="B161" s="18">
        <v>3313.4218780000001</v>
      </c>
      <c r="C161" s="18">
        <v>14.547000000000001</v>
      </c>
      <c r="D161" s="18">
        <v>11.904</v>
      </c>
      <c r="E161" s="22">
        <v>2.9849622131699283</v>
      </c>
      <c r="F161" s="19">
        <f t="shared" si="6"/>
        <v>227.77355317247543</v>
      </c>
      <c r="G161" s="20">
        <f t="shared" si="7"/>
        <v>2.3235149374514208E-3</v>
      </c>
      <c r="H161" s="20" cm="1">
        <f t="array" ref="H161">PRODUCT(G161:G196+1)^(1/3)-1</f>
        <v>0.28579263356546858</v>
      </c>
      <c r="I161" s="21">
        <f t="shared" si="8"/>
        <v>192.31928603762066</v>
      </c>
    </row>
    <row r="162" spans="1:9" x14ac:dyDescent="0.3">
      <c r="A162" s="17">
        <v>41182</v>
      </c>
      <c r="B162" s="18">
        <v>3335.9645970000001</v>
      </c>
      <c r="C162" s="18">
        <v>14.68</v>
      </c>
      <c r="D162" s="18">
        <v>11.87</v>
      </c>
      <c r="E162" s="22">
        <v>2.9753671275897453</v>
      </c>
      <c r="F162" s="19">
        <f t="shared" si="6"/>
        <v>227.24554475476842</v>
      </c>
      <c r="G162" s="20">
        <f t="shared" si="7"/>
        <v>8.925653190527294E-3</v>
      </c>
      <c r="H162" s="20" cm="1">
        <f t="array" ref="H162">PRODUCT(G162:G197+1)^(1/3)-1</f>
        <v>0.28679192719062918</v>
      </c>
      <c r="I162" s="21">
        <f t="shared" si="8"/>
        <v>191.88157903595581</v>
      </c>
    </row>
    <row r="163" spans="1:9" x14ac:dyDescent="0.3">
      <c r="A163" s="17">
        <v>41152</v>
      </c>
      <c r="B163" s="18">
        <v>3246.7650290000001</v>
      </c>
      <c r="C163" s="18">
        <v>14.414999999999999</v>
      </c>
      <c r="D163" s="18">
        <v>11.89</v>
      </c>
      <c r="E163" s="22">
        <v>2.9890817656301971</v>
      </c>
      <c r="F163" s="19">
        <f t="shared" si="6"/>
        <v>225.23517370794315</v>
      </c>
      <c r="G163" s="20">
        <f t="shared" si="7"/>
        <v>-9.1467698697769162E-3</v>
      </c>
      <c r="H163" s="20" cm="1">
        <f t="array" ref="H163">PRODUCT(G163:G198+1)^(1/3)-1</f>
        <v>0.23005359644511647</v>
      </c>
      <c r="I163" s="21">
        <f t="shared" si="8"/>
        <v>191.43952946447064</v>
      </c>
    </row>
    <row r="164" spans="1:9" x14ac:dyDescent="0.3">
      <c r="A164" s="17">
        <v>41121</v>
      </c>
      <c r="B164" s="18">
        <v>3166.4891170000001</v>
      </c>
      <c r="C164" s="18">
        <v>13.93</v>
      </c>
      <c r="D164" s="18">
        <v>12.106</v>
      </c>
      <c r="E164" s="22">
        <v>2.9767889439175521</v>
      </c>
      <c r="F164" s="19">
        <f t="shared" si="6"/>
        <v>227.31436590093324</v>
      </c>
      <c r="G164" s="20">
        <f t="shared" si="7"/>
        <v>-1.4684673480425126E-3</v>
      </c>
      <c r="H164" s="20" cm="1">
        <f t="array" ref="H164">PRODUCT(G164:G199+1)^(1/3)-1</f>
        <v>0.20425586309861865</v>
      </c>
      <c r="I164" s="21">
        <f t="shared" si="8"/>
        <v>191.01173649936339</v>
      </c>
    </row>
    <row r="165" spans="1:9" x14ac:dyDescent="0.3">
      <c r="A165" s="17">
        <v>41090</v>
      </c>
      <c r="B165" s="18">
        <v>3126.299055</v>
      </c>
      <c r="C165" s="18">
        <v>13.733000000000001</v>
      </c>
      <c r="D165" s="18">
        <v>12.143000000000001</v>
      </c>
      <c r="E165" s="22">
        <v>2.969474029417718</v>
      </c>
      <c r="F165" s="19">
        <f t="shared" si="6"/>
        <v>227.64866052574089</v>
      </c>
      <c r="G165" s="20">
        <f t="shared" si="7"/>
        <v>2.1798457458050091E-2</v>
      </c>
      <c r="H165" s="20" cm="1">
        <f t="array" ref="H165">PRODUCT(G165:G200+1)^(1/3)-1</f>
        <v>0.19483619200727387</v>
      </c>
      <c r="I165" s="21">
        <f t="shared" si="8"/>
        <v>190.54631817370225</v>
      </c>
    </row>
    <row r="166" spans="1:9" x14ac:dyDescent="0.3">
      <c r="A166" s="17">
        <v>41060</v>
      </c>
      <c r="B166" s="18">
        <v>2974.7205949999998</v>
      </c>
      <c r="C166" s="18">
        <v>13.352</v>
      </c>
      <c r="D166" s="18">
        <v>11.993</v>
      </c>
      <c r="E166" s="22">
        <v>2.9539650786543081</v>
      </c>
      <c r="F166" s="19">
        <f t="shared" si="6"/>
        <v>222.79213563511081</v>
      </c>
      <c r="G166" s="20">
        <f t="shared" si="7"/>
        <v>3.766092406611854E-4</v>
      </c>
      <c r="H166" s="20" cm="1">
        <f t="array" ref="H166">PRODUCT(G166:G201+1)^(1/3)-1</f>
        <v>0.14526994316778707</v>
      </c>
      <c r="I166" s="21">
        <f t="shared" si="8"/>
        <v>190.06446957172773</v>
      </c>
    </row>
    <row r="167" spans="1:9" x14ac:dyDescent="0.3">
      <c r="A167" s="17">
        <v>41029</v>
      </c>
      <c r="B167" s="18">
        <v>3255.7720770000001</v>
      </c>
      <c r="C167" s="18">
        <v>14.619</v>
      </c>
      <c r="D167" s="18">
        <v>12.034000000000001</v>
      </c>
      <c r="E167" s="22">
        <v>2.9425255868911426</v>
      </c>
      <c r="F167" s="19">
        <f t="shared" si="6"/>
        <v>222.70826164580342</v>
      </c>
      <c r="G167" s="20">
        <f t="shared" si="7"/>
        <v>2.9810032932502395E-3</v>
      </c>
      <c r="H167" s="20" cm="1">
        <f t="array" ref="H167">PRODUCT(G167:G202+1)^(1/3)-1</f>
        <v>0.13989576045130758</v>
      </c>
      <c r="I167" s="21">
        <f t="shared" si="8"/>
        <v>189.63384238668323</v>
      </c>
    </row>
    <row r="168" spans="1:9" x14ac:dyDescent="0.3">
      <c r="A168" s="17">
        <v>40999</v>
      </c>
      <c r="B168" s="18">
        <v>3293.1692800000001</v>
      </c>
      <c r="C168" s="18">
        <v>14.831</v>
      </c>
      <c r="D168" s="18">
        <v>12.087</v>
      </c>
      <c r="E168" s="22">
        <v>2.9079171882868238</v>
      </c>
      <c r="F168" s="19">
        <f t="shared" si="6"/>
        <v>222.04634077270583</v>
      </c>
      <c r="G168" s="20">
        <f t="shared" si="7"/>
        <v>-7.6997785081284187E-3</v>
      </c>
      <c r="H168" s="20" cm="1">
        <f t="array" ref="H168">PRODUCT(G168:G203+1)^(1/3)-1</f>
        <v>0.13229390732617019</v>
      </c>
      <c r="I168" s="21">
        <f t="shared" si="8"/>
        <v>189.19285012989494</v>
      </c>
    </row>
    <row r="169" spans="1:9" x14ac:dyDescent="0.3">
      <c r="A169" s="17">
        <v>40968</v>
      </c>
      <c r="B169" s="18">
        <v>3251.3681459999998</v>
      </c>
      <c r="C169" s="18">
        <v>14.53</v>
      </c>
      <c r="D169" s="18">
        <v>12.138</v>
      </c>
      <c r="E169" s="22">
        <v>2.8941169023035895</v>
      </c>
      <c r="F169" s="19">
        <f t="shared" si="6"/>
        <v>223.76931493461802</v>
      </c>
      <c r="G169" s="20">
        <f t="shared" si="7"/>
        <v>-7.0224227811628293E-3</v>
      </c>
      <c r="H169" s="20" cm="1">
        <f t="array" ref="H169">PRODUCT(G169:G204+1)^(1/3)-1</f>
        <v>6.7242142027210017E-2</v>
      </c>
      <c r="I169" s="21">
        <f t="shared" si="8"/>
        <v>188.74888404012719</v>
      </c>
    </row>
    <row r="170" spans="1:9" x14ac:dyDescent="0.3">
      <c r="A170" s="17">
        <v>40939</v>
      </c>
      <c r="B170" s="18">
        <v>3099.9397840000001</v>
      </c>
      <c r="C170" s="18">
        <v>13.756</v>
      </c>
      <c r="D170" s="18">
        <v>12.019</v>
      </c>
      <c r="E170" s="22">
        <v>2.8332588819180105</v>
      </c>
      <c r="F170" s="19">
        <f t="shared" si="6"/>
        <v>225.35183076475721</v>
      </c>
      <c r="G170" s="20">
        <f t="shared" si="7"/>
        <v>5.9800104436578128E-3</v>
      </c>
      <c r="H170" s="20" cm="1">
        <f t="array" ref="H170">PRODUCT(G170:G205+1)^(1/3)-1</f>
        <v>4.327188881007249E-2</v>
      </c>
      <c r="I170" s="21">
        <f t="shared" si="8"/>
        <v>188.26915211006568</v>
      </c>
    </row>
    <row r="171" spans="1:9" x14ac:dyDescent="0.3">
      <c r="A171" s="17">
        <v>40908</v>
      </c>
      <c r="B171" s="18">
        <v>2951.8092240000001</v>
      </c>
      <c r="C171" s="18">
        <v>13.177</v>
      </c>
      <c r="D171" s="18">
        <v>12.247999999999999</v>
      </c>
      <c r="E171" s="22">
        <v>2.812541229832477</v>
      </c>
      <c r="F171" s="19">
        <f t="shared" si="6"/>
        <v>224.01223525840481</v>
      </c>
      <c r="G171" s="20">
        <f t="shared" si="7"/>
        <v>-1.557342346782431E-2</v>
      </c>
      <c r="H171" s="20" cm="1">
        <f t="array" ref="H171">PRODUCT(G171:G206+1)^(1/3)-1</f>
        <v>4.6060549705066123E-2</v>
      </c>
      <c r="I171" s="21">
        <f t="shared" si="8"/>
        <v>187.75411490652832</v>
      </c>
    </row>
    <row r="172" spans="1:9" x14ac:dyDescent="0.3">
      <c r="A172" s="17">
        <v>40877</v>
      </c>
      <c r="B172" s="18">
        <v>2953.4501310000001</v>
      </c>
      <c r="C172" s="18">
        <v>12.978999999999999</v>
      </c>
      <c r="D172" s="18">
        <v>12.361000000000001</v>
      </c>
      <c r="E172" s="22">
        <v>2.7877815943222695</v>
      </c>
      <c r="F172" s="19">
        <f t="shared" si="6"/>
        <v>227.55606217736346</v>
      </c>
      <c r="G172" s="20">
        <f t="shared" si="7"/>
        <v>-2.3917088498349726E-3</v>
      </c>
      <c r="H172" s="20" cm="1">
        <f t="array" ref="H172">PRODUCT(G172:G207+1)^(1/3)-1</f>
        <v>5.1866052418143793E-2</v>
      </c>
      <c r="I172" s="21">
        <f t="shared" si="8"/>
        <v>187.24343715509337</v>
      </c>
    </row>
    <row r="173" spans="1:9" x14ac:dyDescent="0.3">
      <c r="A173" s="17">
        <v>40847</v>
      </c>
      <c r="B173" s="18">
        <v>3027.3646319999998</v>
      </c>
      <c r="C173" s="18">
        <v>13.272</v>
      </c>
      <c r="D173" s="18">
        <v>12.327999999999999</v>
      </c>
      <c r="E173" s="22">
        <v>2.7155341553879664</v>
      </c>
      <c r="F173" s="19">
        <f t="shared" si="6"/>
        <v>228.10161482820973</v>
      </c>
      <c r="G173" s="20">
        <f t="shared" si="7"/>
        <v>1.5890053096103918E-2</v>
      </c>
      <c r="H173" s="20" cm="1">
        <f t="array" ref="H173">PRODUCT(G173:G208+1)^(1/3)-1</f>
        <v>4.7268413720193747E-2</v>
      </c>
      <c r="I173" s="21">
        <f t="shared" si="8"/>
        <v>186.6675425119181</v>
      </c>
    </row>
    <row r="174" spans="1:9" x14ac:dyDescent="0.3">
      <c r="A174" s="17">
        <v>40816</v>
      </c>
      <c r="B174" s="18">
        <v>2743.578031</v>
      </c>
      <c r="C174" s="18">
        <v>12.218999999999999</v>
      </c>
      <c r="D174" s="18">
        <v>12.318</v>
      </c>
      <c r="E174" s="22">
        <v>2.7069715629784108</v>
      </c>
      <c r="F174" s="19">
        <f t="shared" si="6"/>
        <v>224.53376143710616</v>
      </c>
      <c r="G174" s="20">
        <f t="shared" si="7"/>
        <v>-1.8403503864869108E-2</v>
      </c>
      <c r="H174" s="20" cm="1">
        <f t="array" ref="H174">PRODUCT(G174:G209+1)^(1/3)-1</f>
        <v>2.701838914170307E-2</v>
      </c>
      <c r="I174" s="21">
        <f t="shared" si="8"/>
        <v>186.06704871023268</v>
      </c>
    </row>
    <row r="175" spans="1:9" x14ac:dyDescent="0.3">
      <c r="A175" s="17">
        <v>40786</v>
      </c>
      <c r="B175" s="18">
        <v>3002.94391</v>
      </c>
      <c r="C175" s="18">
        <v>13.128</v>
      </c>
      <c r="D175" s="18">
        <v>12.289</v>
      </c>
      <c r="E175" s="22">
        <v>2.6599722182190977</v>
      </c>
      <c r="F175" s="19">
        <f t="shared" si="6"/>
        <v>228.74344226081658</v>
      </c>
      <c r="G175" s="20">
        <f t="shared" si="7"/>
        <v>2.2228063014718691E-2</v>
      </c>
      <c r="H175" s="20" cm="1">
        <f t="array" ref="H175">PRODUCT(G175:G210+1)^(1/3)-1</f>
        <v>1.2767983247314207E-2</v>
      </c>
      <c r="I175" s="21">
        <f t="shared" si="8"/>
        <v>185.50136175836693</v>
      </c>
    </row>
    <row r="176" spans="1:9" x14ac:dyDescent="0.3">
      <c r="A176" s="17">
        <v>40755</v>
      </c>
      <c r="B176" s="18">
        <v>3230.5599849999999</v>
      </c>
      <c r="C176" s="18">
        <v>14.436999999999999</v>
      </c>
      <c r="D176" s="18">
        <v>12.138999999999999</v>
      </c>
      <c r="E176" s="22">
        <v>2.6217256616797302</v>
      </c>
      <c r="F176" s="19">
        <f t="shared" si="6"/>
        <v>223.76948015515688</v>
      </c>
      <c r="G176" s="20">
        <f t="shared" si="7"/>
        <v>-1.4595806282141632E-2</v>
      </c>
      <c r="H176" s="20" cm="1">
        <f t="array" ref="H176">PRODUCT(G176:G211+1)^(1/3)-1</f>
        <v>-2.4488155214916763E-3</v>
      </c>
      <c r="I176" s="21">
        <f t="shared" si="8"/>
        <v>184.85595757176318</v>
      </c>
    </row>
    <row r="177" spans="1:9" x14ac:dyDescent="0.3">
      <c r="A177" s="17">
        <v>40724</v>
      </c>
      <c r="B177" s="18">
        <v>3290.2194030000001</v>
      </c>
      <c r="C177" s="18">
        <v>14.489000000000001</v>
      </c>
      <c r="D177" s="18">
        <v>12.204000000000001</v>
      </c>
      <c r="E177" s="22">
        <v>2.6250531537707733</v>
      </c>
      <c r="F177" s="19">
        <f t="shared" si="6"/>
        <v>227.08395355096968</v>
      </c>
      <c r="G177" s="20">
        <f t="shared" si="7"/>
        <v>1.1962265180989862E-2</v>
      </c>
      <c r="H177" s="20" cm="1">
        <f t="array" ref="H177">PRODUCT(G177:G212+1)^(1/3)-1</f>
        <v>9.0151952033878935E-4</v>
      </c>
      <c r="I177" s="21">
        <f t="shared" si="8"/>
        <v>184.26635874474206</v>
      </c>
    </row>
    <row r="178" spans="1:9" x14ac:dyDescent="0.3">
      <c r="A178" s="17">
        <v>40694</v>
      </c>
      <c r="B178" s="18">
        <v>3343.1056239999998</v>
      </c>
      <c r="C178" s="18">
        <v>14.898</v>
      </c>
      <c r="D178" s="18">
        <v>12.27</v>
      </c>
      <c r="E178" s="22">
        <v>2.6141089291725095</v>
      </c>
      <c r="F178" s="19">
        <f t="shared" si="6"/>
        <v>224.39962572157336</v>
      </c>
      <c r="G178" s="20">
        <f t="shared" si="7"/>
        <v>2.5068857154623148E-2</v>
      </c>
      <c r="H178" s="20" cm="1">
        <f t="array" ref="H178">PRODUCT(G178:G213+1)^(1/3)-1</f>
        <v>-1.0037859531524362E-2</v>
      </c>
      <c r="I178" s="21">
        <f t="shared" si="8"/>
        <v>183.60762651695393</v>
      </c>
    </row>
    <row r="179" spans="1:9" x14ac:dyDescent="0.3">
      <c r="A179" s="17">
        <v>40663</v>
      </c>
      <c r="B179" s="18">
        <v>3413.928868</v>
      </c>
      <c r="C179" s="18">
        <v>15.595000000000001</v>
      </c>
      <c r="D179" s="18">
        <v>12.1</v>
      </c>
      <c r="E179" s="22">
        <v>2.5974555343798444</v>
      </c>
      <c r="F179" s="19">
        <f t="shared" si="6"/>
        <v>218.911758127605</v>
      </c>
      <c r="G179" s="20">
        <f t="shared" si="7"/>
        <v>2.8511386135295469E-2</v>
      </c>
      <c r="H179" s="20" cm="1">
        <f t="array" ref="H179">PRODUCT(G179:G214+1)^(1/3)-1</f>
        <v>-1.8219172391857663E-2</v>
      </c>
      <c r="I179" s="21">
        <f t="shared" si="8"/>
        <v>182.97025152938176</v>
      </c>
    </row>
    <row r="180" spans="1:9" x14ac:dyDescent="0.3">
      <c r="A180" s="17">
        <v>40633</v>
      </c>
      <c r="B180" s="18">
        <v>3274.8070229999998</v>
      </c>
      <c r="C180" s="18">
        <v>15.385999999999999</v>
      </c>
      <c r="D180" s="18">
        <v>12.06</v>
      </c>
      <c r="E180" s="22">
        <v>2.5523348728244688</v>
      </c>
      <c r="F180" s="19">
        <f t="shared" si="6"/>
        <v>212.84330059794618</v>
      </c>
      <c r="G180" s="20">
        <f t="shared" si="7"/>
        <v>8.2871179892064939E-2</v>
      </c>
      <c r="H180" s="20" cm="1">
        <f t="array" ref="H180">PRODUCT(G180:G215+1)^(1/3)-1</f>
        <v>-2.9822489814299691E-2</v>
      </c>
      <c r="I180" s="21">
        <f t="shared" si="8"/>
        <v>182.39975142464803</v>
      </c>
    </row>
    <row r="181" spans="1:9" x14ac:dyDescent="0.3">
      <c r="A181" s="17">
        <v>40602</v>
      </c>
      <c r="B181" s="18">
        <v>3307.4240829999999</v>
      </c>
      <c r="C181" s="18">
        <v>16.827000000000002</v>
      </c>
      <c r="D181" s="18">
        <v>11.422000000000001</v>
      </c>
      <c r="E181" s="22">
        <v>2.5547978550014561</v>
      </c>
      <c r="F181" s="19">
        <f t="shared" si="6"/>
        <v>196.55458982587504</v>
      </c>
      <c r="G181" s="20">
        <f t="shared" si="7"/>
        <v>1.2561955674528891E-2</v>
      </c>
      <c r="H181" s="20" cm="1">
        <f t="array" ref="H181">PRODUCT(G181:G216+1)^(1/3)-1</f>
        <v>-6.0704932228743957E-2</v>
      </c>
      <c r="I181" s="21">
        <f t="shared" si="8"/>
        <v>181.90872643798195</v>
      </c>
    </row>
    <row r="182" spans="1:9" x14ac:dyDescent="0.3">
      <c r="A182" s="17">
        <v>40574</v>
      </c>
      <c r="B182" s="18">
        <v>3195.5394329999999</v>
      </c>
      <c r="C182" s="18">
        <v>16.462</v>
      </c>
      <c r="D182" s="18">
        <v>11.435</v>
      </c>
      <c r="E182" s="22">
        <v>2.5599669013059767</v>
      </c>
      <c r="F182" s="19">
        <f t="shared" si="6"/>
        <v>194.11611183331308</v>
      </c>
      <c r="G182" s="20">
        <f t="shared" si="7"/>
        <v>4.1427047087927438E-3</v>
      </c>
      <c r="H182" s="20" cm="1">
        <f t="array" ref="H182">PRODUCT(G182:G217+1)^(1/3)-1</f>
        <v>-6.0732132473911626E-2</v>
      </c>
      <c r="I182" s="21">
        <f t="shared" si="8"/>
        <v>181.66863031686893</v>
      </c>
    </row>
    <row r="183" spans="1:9" x14ac:dyDescent="0.3">
      <c r="A183" s="17">
        <v>40543</v>
      </c>
      <c r="B183" s="18">
        <v>3124.9412390000002</v>
      </c>
      <c r="C183" s="18">
        <v>16.164999999999999</v>
      </c>
      <c r="D183" s="18">
        <v>11.445</v>
      </c>
      <c r="E183" s="22">
        <v>2.5441733673152944</v>
      </c>
      <c r="F183" s="19">
        <f t="shared" si="6"/>
        <v>193.31526377977113</v>
      </c>
      <c r="G183" s="20">
        <f t="shared" si="7"/>
        <v>2.1459745503044303E-2</v>
      </c>
      <c r="H183" s="20" cm="1">
        <f t="array" ref="H183">PRODUCT(G183:G218+1)^(1/3)-1</f>
        <v>-5.8336709497400219E-2</v>
      </c>
      <c r="I183" s="21">
        <f t="shared" si="8"/>
        <v>181.46117229159489</v>
      </c>
    </row>
    <row r="184" spans="1:9" x14ac:dyDescent="0.3">
      <c r="A184" s="17">
        <v>40512</v>
      </c>
      <c r="B184" s="18">
        <v>2910.9145859999999</v>
      </c>
      <c r="C184" s="18">
        <v>15.381</v>
      </c>
      <c r="D184" s="18">
        <v>11.427</v>
      </c>
      <c r="E184" s="22">
        <v>2.548325482693925</v>
      </c>
      <c r="F184" s="19">
        <f t="shared" si="6"/>
        <v>189.25392276184903</v>
      </c>
      <c r="G184" s="20">
        <f t="shared" si="7"/>
        <v>4.5966003365621511E-2</v>
      </c>
      <c r="H184" s="20" cm="1">
        <f t="array" ref="H184">PRODUCT(G184:G219+1)^(1/3)-1</f>
        <v>-6.7375547299381555E-2</v>
      </c>
      <c r="I184" s="21">
        <f t="shared" si="8"/>
        <v>181.26025548671058</v>
      </c>
    </row>
    <row r="185" spans="1:9" x14ac:dyDescent="0.3">
      <c r="A185" s="17">
        <v>40482</v>
      </c>
      <c r="B185" s="18">
        <v>2975.146651</v>
      </c>
      <c r="C185" s="18">
        <v>16.443000000000001</v>
      </c>
      <c r="D185" s="18">
        <v>10.912000000000001</v>
      </c>
      <c r="E185" s="22">
        <v>2.5639626836761797</v>
      </c>
      <c r="F185" s="19">
        <f t="shared" si="6"/>
        <v>180.93697324089277</v>
      </c>
      <c r="G185" s="20">
        <f t="shared" si="7"/>
        <v>1.3871574903014494E-2</v>
      </c>
      <c r="H185" s="20" cm="1">
        <f t="array" ref="H185">PRODUCT(G185:G220+1)^(1/3)-1</f>
        <v>-7.9723506914304743E-2</v>
      </c>
      <c r="I185" s="21">
        <f t="shared" si="8"/>
        <v>181.12243363713921</v>
      </c>
    </row>
    <row r="186" spans="1:9" x14ac:dyDescent="0.3">
      <c r="A186" s="17">
        <v>40451</v>
      </c>
      <c r="B186" s="18">
        <v>2868.232137</v>
      </c>
      <c r="C186" s="18">
        <v>16.071999999999999</v>
      </c>
      <c r="D186" s="18">
        <v>10.888</v>
      </c>
      <c r="E186" s="22">
        <v>2.5577440073465629</v>
      </c>
      <c r="F186" s="19">
        <f t="shared" si="6"/>
        <v>178.46143211796914</v>
      </c>
      <c r="G186" s="20">
        <f t="shared" si="7"/>
        <v>3.0257652912488053E-2</v>
      </c>
      <c r="H186" s="20" cm="1">
        <f t="array" ref="H186">PRODUCT(G186:G221+1)^(1/3)-1</f>
        <v>-8.0213763083248346E-2</v>
      </c>
      <c r="I186" s="21">
        <f t="shared" si="8"/>
        <v>181.12568732830141</v>
      </c>
    </row>
    <row r="187" spans="1:9" x14ac:dyDescent="0.3">
      <c r="A187" s="17">
        <v>40421</v>
      </c>
      <c r="B187" s="18">
        <v>2623.5930819999999</v>
      </c>
      <c r="C187" s="18">
        <v>15.146000000000001</v>
      </c>
      <c r="D187" s="18">
        <v>10.837999999999999</v>
      </c>
      <c r="E187" s="22">
        <v>2.5293366975774223</v>
      </c>
      <c r="F187" s="19">
        <f t="shared" si="6"/>
        <v>173.22019556318497</v>
      </c>
      <c r="G187" s="20">
        <f t="shared" si="7"/>
        <v>6.9062775905190499E-2</v>
      </c>
      <c r="H187" s="20" cm="1">
        <f t="array" ref="H187">PRODUCT(G187:G222+1)^(1/3)-1</f>
        <v>-7.3898062772029594E-2</v>
      </c>
      <c r="I187" s="21">
        <f t="shared" si="8"/>
        <v>181.17326331420017</v>
      </c>
    </row>
    <row r="188" spans="1:9" x14ac:dyDescent="0.3">
      <c r="A188" s="17">
        <v>40390</v>
      </c>
      <c r="B188" s="18">
        <v>2725.3438759999999</v>
      </c>
      <c r="C188" s="18">
        <v>16.82</v>
      </c>
      <c r="D188" s="18">
        <v>10.250999999999999</v>
      </c>
      <c r="E188" s="22">
        <v>2.540241988649794</v>
      </c>
      <c r="F188" s="19">
        <f t="shared" si="6"/>
        <v>162.02995695600475</v>
      </c>
      <c r="G188" s="20">
        <f t="shared" si="7"/>
        <v>2.5155536150266E-2</v>
      </c>
      <c r="H188" s="20" cm="1">
        <f t="array" ref="H188">PRODUCT(G188:G223+1)^(1/3)-1</f>
        <v>-9.3033946286033897E-2</v>
      </c>
      <c r="I188" s="21">
        <f t="shared" si="8"/>
        <v>181.31786454603684</v>
      </c>
    </row>
    <row r="189" spans="1:9" x14ac:dyDescent="0.3">
      <c r="A189" s="17">
        <v>40359</v>
      </c>
      <c r="B189" s="18">
        <v>2520.961671</v>
      </c>
      <c r="C189" s="18">
        <v>15.95</v>
      </c>
      <c r="D189" s="18">
        <v>10.243</v>
      </c>
      <c r="E189" s="22">
        <v>2.5529649920039033</v>
      </c>
      <c r="F189" s="19">
        <f t="shared" si="6"/>
        <v>158.0540232601881</v>
      </c>
      <c r="G189" s="20">
        <f t="shared" si="7"/>
        <v>5.1507941828617287E-2</v>
      </c>
      <c r="H189" s="20" cm="1">
        <f t="array" ref="H189">PRODUCT(G189:G224+1)^(1/3)-1</f>
        <v>-9.8000615488681664E-2</v>
      </c>
      <c r="I189" s="21">
        <f t="shared" si="8"/>
        <v>181.67504801992635</v>
      </c>
    </row>
    <row r="190" spans="1:9" x14ac:dyDescent="0.3">
      <c r="A190" s="17">
        <v>40329</v>
      </c>
      <c r="B190" s="18">
        <v>2610.4645650000002</v>
      </c>
      <c r="C190" s="18">
        <v>17.367000000000001</v>
      </c>
      <c r="D190" s="18">
        <v>9.8979999999999997</v>
      </c>
      <c r="E190" s="22">
        <v>2.5815142148731818</v>
      </c>
      <c r="F190" s="19">
        <f t="shared" si="6"/>
        <v>150.31177319053378</v>
      </c>
      <c r="G190" s="20">
        <f t="shared" si="7"/>
        <v>7.7952331838361033E-2</v>
      </c>
      <c r="H190" s="20" cm="1">
        <f t="array" ref="H190">PRODUCT(G190:G225+1)^(1/3)-1</f>
        <v>-0.10722242455406661</v>
      </c>
      <c r="I190" s="21">
        <f t="shared" si="8"/>
        <v>182.12072773237423</v>
      </c>
    </row>
    <row r="191" spans="1:9" x14ac:dyDescent="0.3">
      <c r="A191" s="17">
        <v>40298</v>
      </c>
      <c r="B191" s="18">
        <v>2887.0060950000002</v>
      </c>
      <c r="C191" s="18">
        <v>20.704000000000001</v>
      </c>
      <c r="D191" s="18">
        <v>9.0749999999999993</v>
      </c>
      <c r="E191" s="22">
        <v>2.6323887333083551</v>
      </c>
      <c r="F191" s="19">
        <f t="shared" si="6"/>
        <v>139.44194817426586</v>
      </c>
      <c r="G191" s="20">
        <f t="shared" si="7"/>
        <v>2.3617513235285159E-2</v>
      </c>
      <c r="H191" s="20" cm="1">
        <f t="array" ref="H191">PRODUCT(G191:G226+1)^(1/3)-1</f>
        <v>-0.12943264020900569</v>
      </c>
      <c r="I191" s="21">
        <f t="shared" si="8"/>
        <v>182.73243839664039</v>
      </c>
    </row>
    <row r="192" spans="1:9" x14ac:dyDescent="0.3">
      <c r="A192" s="17">
        <v>40268</v>
      </c>
      <c r="B192" s="18">
        <v>2886.600555</v>
      </c>
      <c r="C192" s="18">
        <v>21.19</v>
      </c>
      <c r="D192" s="18">
        <v>8.9209999999999994</v>
      </c>
      <c r="E192" s="22">
        <v>2.7749483972797861</v>
      </c>
      <c r="F192" s="19">
        <f t="shared" si="6"/>
        <v>136.22466045304387</v>
      </c>
      <c r="G192" s="20">
        <f t="shared" si="7"/>
        <v>0.37624969459952462</v>
      </c>
      <c r="H192" s="20" cm="1">
        <f t="array" ref="H192">PRODUCT(G192:G227+1)^(1/3)-1</f>
        <v>-0.13075990861409359</v>
      </c>
      <c r="I192" s="21">
        <f t="shared" si="8"/>
        <v>183.58127153825558</v>
      </c>
    </row>
    <row r="193" spans="1:9" x14ac:dyDescent="0.3">
      <c r="A193" s="17">
        <v>40237</v>
      </c>
      <c r="B193" s="18">
        <v>2718.2579150000001</v>
      </c>
      <c r="C193" s="18">
        <v>27.462</v>
      </c>
      <c r="D193" s="18">
        <v>6.5439999999999996</v>
      </c>
      <c r="E193" s="22">
        <v>2.8099334420998545</v>
      </c>
      <c r="F193" s="19">
        <f t="shared" si="6"/>
        <v>98.98251820697692</v>
      </c>
      <c r="G193" s="20">
        <f t="shared" si="7"/>
        <v>1.4096625428997589E-2</v>
      </c>
      <c r="H193" s="20" cm="1">
        <f t="array" ref="H193">PRODUCT(G193:G228+1)^(1/3)-1</f>
        <v>-0.20778907666575197</v>
      </c>
      <c r="I193" s="21">
        <f t="shared" si="8"/>
        <v>184.52840375995982</v>
      </c>
    </row>
    <row r="194" spans="1:9" x14ac:dyDescent="0.3">
      <c r="A194" s="17">
        <v>40209</v>
      </c>
      <c r="B194" s="18">
        <v>2680.4723009999998</v>
      </c>
      <c r="C194" s="18">
        <v>27.462</v>
      </c>
      <c r="D194" s="18">
        <v>6.5439999999999996</v>
      </c>
      <c r="E194" s="22">
        <v>2.9557478814684179</v>
      </c>
      <c r="F194" s="19">
        <f t="shared" si="6"/>
        <v>97.606594603452038</v>
      </c>
      <c r="G194" s="20">
        <f t="shared" si="7"/>
        <v>-5.8285305396300613E-3</v>
      </c>
      <c r="H194" s="20" cm="1">
        <f t="array" ref="H194">PRODUCT(G194:G229+1)^(1/3)-1</f>
        <v>-0.20879723161960384</v>
      </c>
      <c r="I194" s="21">
        <f t="shared" si="8"/>
        <v>186.27423815900033</v>
      </c>
    </row>
    <row r="195" spans="1:9" x14ac:dyDescent="0.3">
      <c r="A195" s="17">
        <v>40178</v>
      </c>
      <c r="B195" s="18">
        <v>2796.034983</v>
      </c>
      <c r="C195" s="18">
        <v>28.478999999999999</v>
      </c>
      <c r="D195" s="18">
        <v>6.5640000000000001</v>
      </c>
      <c r="E195" s="22">
        <v>3.0055735006415896</v>
      </c>
      <c r="F195" s="19">
        <f t="shared" ref="F195:F242" si="9">B195/C195</f>
        <v>98.178832929527019</v>
      </c>
      <c r="G195" s="20">
        <f t="shared" ref="G195:G241" si="10">F195/F196-1</f>
        <v>-4.4845250839420481E-2</v>
      </c>
      <c r="H195" s="20" cm="1">
        <f t="array" ref="H195">PRODUCT(G195:G230+1)^(1/3)-1</f>
        <v>-0.20800083487707832</v>
      </c>
      <c r="I195" s="21">
        <f t="shared" ref="I195:I242" si="11">AVERAGE(F195:F314)</f>
        <v>188.12148073307424</v>
      </c>
    </row>
    <row r="196" spans="1:9" x14ac:dyDescent="0.3">
      <c r="A196" s="17">
        <v>40147</v>
      </c>
      <c r="B196" s="18">
        <v>2746.7117509999998</v>
      </c>
      <c r="C196" s="18">
        <v>26.722000000000001</v>
      </c>
      <c r="D196" s="18">
        <v>6.7679999999999998</v>
      </c>
      <c r="E196" s="22">
        <v>3.0719036838559477</v>
      </c>
      <c r="F196" s="19">
        <f t="shared" si="9"/>
        <v>102.78840472270039</v>
      </c>
      <c r="G196" s="20">
        <f t="shared" si="10"/>
        <v>-4.0701800949393241E-2</v>
      </c>
      <c r="H196" s="20" cm="1">
        <f t="array" ref="H196">PRODUCT(G196:G231+1)^(1/3)-1</f>
        <v>-0.19518628921929027</v>
      </c>
      <c r="I196" s="21">
        <f t="shared" si="11"/>
        <v>190.03515409059654</v>
      </c>
    </row>
    <row r="197" spans="1:9" x14ac:dyDescent="0.3">
      <c r="A197" s="17">
        <v>40117</v>
      </c>
      <c r="B197" s="18">
        <v>2638.88</v>
      </c>
      <c r="C197" s="18">
        <v>24.628</v>
      </c>
      <c r="D197" s="18">
        <v>7.1970000000000001</v>
      </c>
      <c r="E197" s="22">
        <v>3.1577405803515424</v>
      </c>
      <c r="F197" s="19">
        <f t="shared" si="9"/>
        <v>107.14958583725841</v>
      </c>
      <c r="G197" s="20">
        <f t="shared" si="10"/>
        <v>4.6622920719703309E-3</v>
      </c>
      <c r="H197" s="20" cm="1">
        <f t="array" ref="H197">PRODUCT(G197:G232+1)^(1/3)-1</f>
        <v>-0.17573211942243971</v>
      </c>
      <c r="I197" s="21">
        <f t="shared" si="11"/>
        <v>191.93182255511593</v>
      </c>
    </row>
    <row r="198" spans="1:9" x14ac:dyDescent="0.3">
      <c r="A198" s="17">
        <v>40086</v>
      </c>
      <c r="B198" s="18">
        <v>2686.679134</v>
      </c>
      <c r="C198" s="18">
        <v>25.190999999999999</v>
      </c>
      <c r="D198" s="18">
        <v>7.2140000000000004</v>
      </c>
      <c r="E198" s="22">
        <v>3.2054419828457137</v>
      </c>
      <c r="F198" s="19">
        <f t="shared" si="9"/>
        <v>106.65234147116034</v>
      </c>
      <c r="G198" s="20">
        <f t="shared" si="10"/>
        <v>-0.11873547708243348</v>
      </c>
      <c r="H198" s="20" cm="1">
        <f t="array" ref="H198">PRODUCT(G198:G233+1)^(1/3)-1</f>
        <v>-0.17518400338652196</v>
      </c>
      <c r="I198" s="21">
        <f t="shared" si="11"/>
        <v>193.81587225995722</v>
      </c>
    </row>
    <row r="199" spans="1:9" x14ac:dyDescent="0.3">
      <c r="A199" s="17">
        <v>40056</v>
      </c>
      <c r="B199" s="18">
        <v>2583.6973790000002</v>
      </c>
      <c r="C199" s="18">
        <v>21.349</v>
      </c>
      <c r="D199" s="18">
        <v>8.4480000000000004</v>
      </c>
      <c r="E199" s="22">
        <v>3.2640144678168559</v>
      </c>
      <c r="F199" s="19">
        <f t="shared" si="9"/>
        <v>121.02193915405874</v>
      </c>
      <c r="G199" s="20">
        <f t="shared" si="10"/>
        <v>-7.0191456461508261E-2</v>
      </c>
      <c r="H199" s="20" cm="1">
        <f t="array" ref="H199">PRODUCT(G199:G234+1)^(1/3)-1</f>
        <v>-0.13077688653819408</v>
      </c>
      <c r="I199" s="21">
        <f t="shared" si="11"/>
        <v>195.79686159606626</v>
      </c>
    </row>
    <row r="200" spans="1:9" x14ac:dyDescent="0.3">
      <c r="A200" s="17">
        <v>40025</v>
      </c>
      <c r="B200" s="18">
        <v>2481.3304459999999</v>
      </c>
      <c r="C200" s="18">
        <v>19.064</v>
      </c>
      <c r="D200" s="18">
        <v>9.26</v>
      </c>
      <c r="E200" s="22">
        <v>3.2555435984954917</v>
      </c>
      <c r="F200" s="19">
        <f t="shared" si="9"/>
        <v>130.15791261015525</v>
      </c>
      <c r="G200" s="20">
        <f t="shared" si="10"/>
        <v>-2.4717159917876597E-2</v>
      </c>
      <c r="H200" s="20" cm="1">
        <f t="array" ref="H200">PRODUCT(G200:G235+1)^(1/3)-1</f>
        <v>-0.10323163373511557</v>
      </c>
      <c r="I200" s="21">
        <f t="shared" si="11"/>
        <v>197.5358132807641</v>
      </c>
    </row>
    <row r="201" spans="1:9" x14ac:dyDescent="0.3">
      <c r="A201" s="17">
        <v>39994</v>
      </c>
      <c r="B201" s="18">
        <v>2287.5792419999998</v>
      </c>
      <c r="C201" s="18">
        <v>17.140999999999998</v>
      </c>
      <c r="D201" s="18">
        <v>9.6690000000000005</v>
      </c>
      <c r="E201" s="22">
        <v>3.2484590210582809</v>
      </c>
      <c r="F201" s="19">
        <f t="shared" si="9"/>
        <v>133.45658024619334</v>
      </c>
      <c r="G201" s="20">
        <f t="shared" si="10"/>
        <v>-0.1001632526027505</v>
      </c>
      <c r="H201" s="20" cm="1">
        <f t="array" ref="H201">PRODUCT(G201:G236+1)^(1/3)-1</f>
        <v>-8.7017871502946487E-2</v>
      </c>
      <c r="I201" s="21">
        <f t="shared" si="11"/>
        <v>199.14004901101669</v>
      </c>
    </row>
    <row r="202" spans="1:9" x14ac:dyDescent="0.3">
      <c r="A202" s="17">
        <v>39964</v>
      </c>
      <c r="B202" s="18">
        <v>2297.9459999999999</v>
      </c>
      <c r="C202" s="18">
        <v>15.494</v>
      </c>
      <c r="D202" s="18">
        <v>10.599</v>
      </c>
      <c r="E202" s="22">
        <v>3.2161212409694162</v>
      </c>
      <c r="F202" s="19">
        <f t="shared" si="9"/>
        <v>148.31199173873756</v>
      </c>
      <c r="G202" s="20">
        <f t="shared" si="10"/>
        <v>-1.3640221401469144E-2</v>
      </c>
      <c r="H202" s="20" cm="1">
        <f t="array" ref="H202">PRODUCT(G202:G237+1)^(1/3)-1</f>
        <v>-5.6171615672474418E-2</v>
      </c>
      <c r="I202" s="21">
        <f t="shared" si="11"/>
        <v>200.74208483454899</v>
      </c>
    </row>
    <row r="203" spans="1:9" x14ac:dyDescent="0.3">
      <c r="A203" s="17">
        <v>39933</v>
      </c>
      <c r="B203" s="18">
        <v>2107.0363830000001</v>
      </c>
      <c r="C203" s="18">
        <v>14.013</v>
      </c>
      <c r="D203" s="18">
        <v>11.124000000000001</v>
      </c>
      <c r="E203" s="22">
        <v>3.2291287905755306</v>
      </c>
      <c r="F203" s="19">
        <f t="shared" si="9"/>
        <v>150.36297602226506</v>
      </c>
      <c r="G203" s="20">
        <f t="shared" si="10"/>
        <v>-1.6951819768530885E-2</v>
      </c>
      <c r="H203" s="20" cm="1">
        <f t="array" ref="H203">PRODUCT(G203:G238+1)^(1/3)-1</f>
        <v>-4.5879515859249098E-2</v>
      </c>
      <c r="I203" s="21">
        <f t="shared" si="11"/>
        <v>202.0528371619443</v>
      </c>
    </row>
    <row r="204" spans="1:9" x14ac:dyDescent="0.3">
      <c r="A204" s="17">
        <v>39903</v>
      </c>
      <c r="B204" s="18">
        <v>1894.5112340000001</v>
      </c>
      <c r="C204" s="18">
        <v>12.385999999999999</v>
      </c>
      <c r="D204" s="18">
        <v>11.446999999999999</v>
      </c>
      <c r="E204" s="22">
        <v>3.1941096943611358</v>
      </c>
      <c r="F204" s="19">
        <f t="shared" si="9"/>
        <v>152.95585612788634</v>
      </c>
      <c r="G204" s="20">
        <f t="shared" si="10"/>
        <v>-0.16908906504191357</v>
      </c>
      <c r="H204" s="20" cm="1">
        <f t="array" ref="H204">PRODUCT(G204:G239+1)^(1/3)-1</f>
        <v>-3.1620990090720502E-2</v>
      </c>
      <c r="I204" s="21">
        <f t="shared" si="11"/>
        <v>203.37821821680785</v>
      </c>
    </row>
    <row r="205" spans="1:9" x14ac:dyDescent="0.3">
      <c r="A205" s="17">
        <v>39872</v>
      </c>
      <c r="B205" s="18">
        <v>1761.6659999999999</v>
      </c>
      <c r="C205" s="18">
        <v>9.57</v>
      </c>
      <c r="D205" s="18">
        <v>12.946999999999999</v>
      </c>
      <c r="E205" s="22">
        <v>3.1994448472592918</v>
      </c>
      <c r="F205" s="19">
        <f t="shared" si="9"/>
        <v>184.08213166144199</v>
      </c>
      <c r="G205" s="20">
        <f t="shared" si="10"/>
        <v>-7.2437760853093836E-2</v>
      </c>
      <c r="H205" s="20" cm="1">
        <f t="array" ref="H205">PRODUCT(G205:G240+1)^(1/3)-1</f>
        <v>4.5164735380003318E-2</v>
      </c>
      <c r="I205" s="21">
        <f t="shared" si="11"/>
        <v>204.7051224823058</v>
      </c>
    </row>
    <row r="206" spans="1:9" x14ac:dyDescent="0.3">
      <c r="A206" s="17">
        <v>39844</v>
      </c>
      <c r="B206" s="18">
        <v>1962.5509999999999</v>
      </c>
      <c r="C206" s="18">
        <v>9.8889999999999993</v>
      </c>
      <c r="D206" s="18">
        <v>13.654</v>
      </c>
      <c r="E206" s="22">
        <v>3.0465451216985295</v>
      </c>
      <c r="F206" s="19">
        <f t="shared" si="9"/>
        <v>198.45798361816159</v>
      </c>
      <c r="G206" s="20">
        <f t="shared" si="10"/>
        <v>1.406853218212567E-2</v>
      </c>
      <c r="H206" s="20" cm="1">
        <f t="array" ref="H206">PRODUCT(G206:G241+1)^(1/3)-1</f>
        <v>7.1479496382789609E-2</v>
      </c>
      <c r="I206" s="21">
        <f t="shared" si="11"/>
        <v>205.26250061259941</v>
      </c>
    </row>
    <row r="207" spans="1:9" x14ac:dyDescent="0.3">
      <c r="A207" s="17">
        <v>39813</v>
      </c>
      <c r="B207" s="18">
        <v>2150.9904200000001</v>
      </c>
      <c r="C207" s="18">
        <v>10.991</v>
      </c>
      <c r="D207" s="18">
        <v>13.14</v>
      </c>
      <c r="E207" s="22">
        <v>3.015555101967049</v>
      </c>
      <c r="F207" s="19">
        <f t="shared" si="9"/>
        <v>195.70470566827404</v>
      </c>
      <c r="G207" s="20">
        <f t="shared" si="10"/>
        <v>9.0803508722769877E-4</v>
      </c>
      <c r="H207" s="20"/>
      <c r="I207" s="21">
        <f t="shared" si="11"/>
        <v>205.45151497355602</v>
      </c>
    </row>
    <row r="208" spans="1:9" x14ac:dyDescent="0.3">
      <c r="A208" s="17">
        <v>39782</v>
      </c>
      <c r="B208" s="18">
        <v>2084.1239999999998</v>
      </c>
      <c r="C208" s="18">
        <v>10.659000000000001</v>
      </c>
      <c r="D208" s="18">
        <v>13.441000000000001</v>
      </c>
      <c r="E208" s="22">
        <v>2.9314601145205454</v>
      </c>
      <c r="F208" s="19">
        <f t="shared" si="9"/>
        <v>195.52716014635516</v>
      </c>
      <c r="G208" s="20">
        <f t="shared" si="10"/>
        <v>-1.5416058571239066E-2</v>
      </c>
      <c r="H208" s="20"/>
      <c r="I208" s="21">
        <f t="shared" si="11"/>
        <v>205.72999523942124</v>
      </c>
    </row>
    <row r="209" spans="1:9" x14ac:dyDescent="0.3">
      <c r="A209" s="17">
        <v>39752</v>
      </c>
      <c r="B209" s="18">
        <v>2228.3628359999998</v>
      </c>
      <c r="C209" s="18">
        <v>11.221</v>
      </c>
      <c r="D209" s="18">
        <v>13.554</v>
      </c>
      <c r="E209" s="22">
        <v>2.8014737149802738</v>
      </c>
      <c r="F209" s="19">
        <f t="shared" si="9"/>
        <v>198.58861384903304</v>
      </c>
      <c r="G209" s="20">
        <f t="shared" si="10"/>
        <v>-4.1907694719276467E-2</v>
      </c>
      <c r="H209" s="20"/>
      <c r="I209" s="21">
        <f t="shared" si="11"/>
        <v>206.03007862451139</v>
      </c>
    </row>
    <row r="210" spans="1:9" x14ac:dyDescent="0.3">
      <c r="A210" s="17">
        <v>39721</v>
      </c>
      <c r="B210" s="18">
        <v>2749.710583</v>
      </c>
      <c r="C210" s="18">
        <v>13.266</v>
      </c>
      <c r="D210" s="18">
        <v>13.842000000000001</v>
      </c>
      <c r="E210" s="22">
        <v>2.7634187810608113</v>
      </c>
      <c r="F210" s="19">
        <f t="shared" si="9"/>
        <v>207.27503263983115</v>
      </c>
      <c r="G210" s="20">
        <f t="shared" si="10"/>
        <v>-5.8699627959093004E-2</v>
      </c>
      <c r="H210" s="20"/>
      <c r="I210" s="21">
        <f t="shared" si="11"/>
        <v>206.25557755710165</v>
      </c>
    </row>
    <row r="211" spans="1:9" x14ac:dyDescent="0.3">
      <c r="A211" s="17">
        <v>39691</v>
      </c>
      <c r="B211" s="18">
        <v>3120.9050000000002</v>
      </c>
      <c r="C211" s="18">
        <v>14.173</v>
      </c>
      <c r="D211" s="18">
        <v>14.565</v>
      </c>
      <c r="E211" s="22">
        <v>2.6755094634542509</v>
      </c>
      <c r="F211" s="19">
        <f t="shared" si="9"/>
        <v>220.20073378959995</v>
      </c>
      <c r="G211" s="20">
        <f t="shared" si="10"/>
        <v>-2.3159910316054577E-2</v>
      </c>
      <c r="H211" s="20"/>
      <c r="I211" s="21">
        <f t="shared" si="11"/>
        <v>206.22371958576636</v>
      </c>
    </row>
    <row r="212" spans="1:9" x14ac:dyDescent="0.3">
      <c r="A212" s="17">
        <v>39660</v>
      </c>
      <c r="B212" s="18">
        <v>3165.3683510000001</v>
      </c>
      <c r="C212" s="18">
        <v>14.042</v>
      </c>
      <c r="D212" s="18">
        <v>14.579000000000001</v>
      </c>
      <c r="E212" s="22">
        <v>2.6713446084035031</v>
      </c>
      <c r="F212" s="19">
        <f t="shared" si="9"/>
        <v>225.42147493234583</v>
      </c>
      <c r="G212" s="20">
        <f t="shared" si="10"/>
        <v>-4.6338071524518742E-3</v>
      </c>
      <c r="H212" s="20"/>
      <c r="I212" s="21">
        <f t="shared" si="11"/>
        <v>205.77284815983626</v>
      </c>
    </row>
    <row r="213" spans="1:9" x14ac:dyDescent="0.3">
      <c r="A213" s="17">
        <v>39629</v>
      </c>
      <c r="B213" s="18">
        <v>3244.6485469999998</v>
      </c>
      <c r="C213" s="18">
        <v>14.327</v>
      </c>
      <c r="D213" s="18">
        <v>14.593</v>
      </c>
      <c r="E213" s="22">
        <v>2.6477937517900729</v>
      </c>
      <c r="F213" s="19">
        <f t="shared" si="9"/>
        <v>226.47089739652404</v>
      </c>
      <c r="G213" s="20">
        <f t="shared" si="10"/>
        <v>-2.0857208843507724E-2</v>
      </c>
      <c r="H213" s="20"/>
      <c r="I213" s="21">
        <f t="shared" si="11"/>
        <v>205.11789393408591</v>
      </c>
    </row>
    <row r="214" spans="1:9" x14ac:dyDescent="0.3">
      <c r="A214" s="17">
        <v>39599</v>
      </c>
      <c r="B214" s="18">
        <v>3525.8620000000001</v>
      </c>
      <c r="C214" s="18">
        <v>15.244</v>
      </c>
      <c r="D214" s="18">
        <v>14.81</v>
      </c>
      <c r="E214" s="22">
        <v>2.6352481356316293</v>
      </c>
      <c r="F214" s="19">
        <f t="shared" si="9"/>
        <v>231.29506691157178</v>
      </c>
      <c r="G214" s="20">
        <f t="shared" si="10"/>
        <v>-1.360231346978491E-4</v>
      </c>
      <c r="H214" s="20"/>
      <c r="I214" s="21">
        <f t="shared" si="11"/>
        <v>204.38158346986395</v>
      </c>
    </row>
    <row r="215" spans="1:9" x14ac:dyDescent="0.3">
      <c r="A215" s="17">
        <v>39568</v>
      </c>
      <c r="B215" s="18">
        <v>3472.9052350000002</v>
      </c>
      <c r="C215" s="18">
        <v>15.013</v>
      </c>
      <c r="D215" s="18">
        <v>14.858000000000001</v>
      </c>
      <c r="E215" s="22">
        <v>2.5166583851544466</v>
      </c>
      <c r="F215" s="19">
        <f t="shared" si="9"/>
        <v>231.32653267168456</v>
      </c>
      <c r="G215" s="20">
        <f t="shared" si="10"/>
        <v>-7.5261510126003461E-3</v>
      </c>
      <c r="H215" s="20"/>
      <c r="I215" s="21">
        <f t="shared" si="11"/>
        <v>203.42038763266007</v>
      </c>
    </row>
    <row r="216" spans="1:9" x14ac:dyDescent="0.3">
      <c r="A216" s="17">
        <v>39538</v>
      </c>
      <c r="B216" s="18">
        <v>3299.490863</v>
      </c>
      <c r="C216" s="18">
        <v>14.156000000000001</v>
      </c>
      <c r="D216" s="18">
        <v>14.878</v>
      </c>
      <c r="E216" s="22">
        <v>2.4287124374051006</v>
      </c>
      <c r="F216" s="19">
        <f t="shared" si="9"/>
        <v>233.08073346990673</v>
      </c>
      <c r="G216" s="20">
        <f t="shared" si="10"/>
        <v>-1.7281092351527527E-2</v>
      </c>
      <c r="H216" s="20"/>
      <c r="I216" s="21">
        <f t="shared" si="11"/>
        <v>202.38682670528874</v>
      </c>
    </row>
    <row r="217" spans="1:9" x14ac:dyDescent="0.3">
      <c r="A217" s="17">
        <v>39507</v>
      </c>
      <c r="B217" s="18">
        <v>3331.4226039999999</v>
      </c>
      <c r="C217" s="18">
        <v>14.045999999999999</v>
      </c>
      <c r="D217" s="18">
        <v>15.754</v>
      </c>
      <c r="E217" s="22">
        <v>2.3607263659638278</v>
      </c>
      <c r="F217" s="19">
        <f t="shared" si="9"/>
        <v>237.17945350989606</v>
      </c>
      <c r="G217" s="20">
        <f t="shared" si="10"/>
        <v>1.2473992466274897E-2</v>
      </c>
      <c r="H217" s="20"/>
      <c r="I217" s="21">
        <f t="shared" si="11"/>
        <v>201.20629182972652</v>
      </c>
    </row>
    <row r="218" spans="1:9" x14ac:dyDescent="0.3">
      <c r="A218" s="17">
        <v>39478</v>
      </c>
      <c r="B218" s="18">
        <v>3350.8168390000001</v>
      </c>
      <c r="C218" s="18">
        <v>14.304</v>
      </c>
      <c r="D218" s="18">
        <v>15.798</v>
      </c>
      <c r="E218" s="22">
        <v>2.3280268421013828</v>
      </c>
      <c r="F218" s="19">
        <f t="shared" si="9"/>
        <v>234.25732934843401</v>
      </c>
      <c r="G218" s="20">
        <f t="shared" si="10"/>
        <v>1.1844935927828759E-2</v>
      </c>
      <c r="H218" s="20"/>
      <c r="I218" s="21">
        <f t="shared" si="11"/>
        <v>199.76736536251983</v>
      </c>
    </row>
    <row r="219" spans="1:9" x14ac:dyDescent="0.3">
      <c r="A219" s="17">
        <v>39447</v>
      </c>
      <c r="B219" s="18">
        <v>3628.0723240000002</v>
      </c>
      <c r="C219" s="18">
        <v>15.670999999999999</v>
      </c>
      <c r="D219" s="18">
        <v>15.814</v>
      </c>
      <c r="E219" s="22">
        <v>2.3094987224532071</v>
      </c>
      <c r="F219" s="19">
        <f t="shared" si="9"/>
        <v>231.51504843341206</v>
      </c>
      <c r="G219" s="20">
        <f t="shared" si="10"/>
        <v>-7.6731793716372509E-3</v>
      </c>
      <c r="H219" s="20"/>
      <c r="I219" s="21">
        <f t="shared" si="11"/>
        <v>198.3302835297734</v>
      </c>
    </row>
    <row r="220" spans="1:9" x14ac:dyDescent="0.3">
      <c r="A220" s="17">
        <v>39416</v>
      </c>
      <c r="B220" s="18">
        <v>3675.490773</v>
      </c>
      <c r="C220" s="18">
        <v>15.754</v>
      </c>
      <c r="D220" s="18">
        <v>16.045000000000002</v>
      </c>
      <c r="E220" s="22">
        <v>2.3000016812150914</v>
      </c>
      <c r="F220" s="19">
        <f t="shared" si="9"/>
        <v>233.30524139900979</v>
      </c>
      <c r="G220" s="20">
        <f t="shared" si="10"/>
        <v>4.9678332193996422E-3</v>
      </c>
      <c r="H220" s="20"/>
      <c r="I220" s="21">
        <f t="shared" si="11"/>
        <v>196.88746766439778</v>
      </c>
    </row>
    <row r="221" spans="1:9" x14ac:dyDescent="0.3">
      <c r="A221" s="17">
        <v>39386</v>
      </c>
      <c r="B221" s="18">
        <v>3832.1322260000002</v>
      </c>
      <c r="C221" s="18">
        <v>16.507000000000001</v>
      </c>
      <c r="D221" s="18">
        <v>16.09</v>
      </c>
      <c r="E221" s="22">
        <v>2.3188395832818065</v>
      </c>
      <c r="F221" s="19">
        <f t="shared" si="9"/>
        <v>232.15194923365843</v>
      </c>
      <c r="G221" s="20">
        <f t="shared" si="10"/>
        <v>1.2252087555655766E-2</v>
      </c>
      <c r="H221" s="20"/>
      <c r="I221" s="21">
        <f t="shared" si="11"/>
        <v>195.23211431282451</v>
      </c>
    </row>
    <row r="222" spans="1:9" x14ac:dyDescent="0.3">
      <c r="A222" s="17">
        <v>39355</v>
      </c>
      <c r="B222" s="18">
        <v>3718.0929999999998</v>
      </c>
      <c r="C222" s="18">
        <v>16.212</v>
      </c>
      <c r="D222" s="18">
        <v>16.074000000000002</v>
      </c>
      <c r="E222" s="22">
        <v>2.2975143134172704</v>
      </c>
      <c r="F222" s="19">
        <f t="shared" si="9"/>
        <v>229.34203059462126</v>
      </c>
      <c r="G222" s="20">
        <f t="shared" si="10"/>
        <v>5.1626464795489602E-2</v>
      </c>
      <c r="H222" s="20"/>
      <c r="I222" s="21">
        <f t="shared" si="11"/>
        <v>193.47402693564189</v>
      </c>
    </row>
    <row r="223" spans="1:9" x14ac:dyDescent="0.3">
      <c r="A223" s="17">
        <v>39325</v>
      </c>
      <c r="B223" s="18">
        <v>3549.3035530000002</v>
      </c>
      <c r="C223" s="18">
        <v>16.274999999999999</v>
      </c>
      <c r="D223" s="18">
        <v>15.802</v>
      </c>
      <c r="E223" s="22">
        <v>2.2783483319307241</v>
      </c>
      <c r="F223" s="19">
        <f t="shared" si="9"/>
        <v>218.08316761904766</v>
      </c>
      <c r="G223" s="20">
        <f t="shared" si="10"/>
        <v>4.1530858216500821E-3</v>
      </c>
      <c r="H223" s="20"/>
      <c r="I223" s="21">
        <f t="shared" si="11"/>
        <v>191.68062675269294</v>
      </c>
    </row>
    <row r="224" spans="1:9" x14ac:dyDescent="0.3">
      <c r="A224" s="17">
        <v>39294</v>
      </c>
      <c r="B224" s="18">
        <v>3551.9984519999998</v>
      </c>
      <c r="C224" s="18">
        <v>16.355</v>
      </c>
      <c r="D224" s="18">
        <v>15.784000000000001</v>
      </c>
      <c r="E224" s="22">
        <v>2.2975496441265175</v>
      </c>
      <c r="F224" s="19">
        <f t="shared" si="9"/>
        <v>217.18119547538979</v>
      </c>
      <c r="G224" s="20">
        <f t="shared" si="10"/>
        <v>8.4059225380830327E-3</v>
      </c>
      <c r="H224" s="20"/>
      <c r="I224" s="21">
        <f t="shared" si="11"/>
        <v>190.29101933867426</v>
      </c>
    </row>
    <row r="225" spans="1:9" x14ac:dyDescent="0.3">
      <c r="A225" s="17">
        <v>39263</v>
      </c>
      <c r="B225" s="18">
        <v>3632.444</v>
      </c>
      <c r="C225" s="18">
        <v>16.866</v>
      </c>
      <c r="D225" s="18">
        <v>15.93</v>
      </c>
      <c r="E225" s="22">
        <v>2.3012138662765302</v>
      </c>
      <c r="F225" s="19">
        <f t="shared" si="9"/>
        <v>215.37080517016483</v>
      </c>
      <c r="G225" s="20">
        <f t="shared" si="10"/>
        <v>1.9585506460617852E-2</v>
      </c>
      <c r="H225" s="20"/>
      <c r="I225" s="21">
        <f t="shared" si="11"/>
        <v>188.79712066441229</v>
      </c>
    </row>
    <row r="226" spans="1:9" x14ac:dyDescent="0.3">
      <c r="A226" s="17">
        <v>39233</v>
      </c>
      <c r="B226" s="18">
        <v>3660.6797860000001</v>
      </c>
      <c r="C226" s="18">
        <v>17.329999999999998</v>
      </c>
      <c r="D226" s="18">
        <v>15.928000000000001</v>
      </c>
      <c r="E226" s="22">
        <v>2.326143107297729</v>
      </c>
      <c r="F226" s="19">
        <f t="shared" si="9"/>
        <v>211.23368643969997</v>
      </c>
      <c r="G226" s="20">
        <f t="shared" si="10"/>
        <v>-5.1362785332609295E-4</v>
      </c>
      <c r="H226" s="20"/>
      <c r="I226" s="21">
        <f t="shared" si="11"/>
        <v>187.2339627523092</v>
      </c>
    </row>
    <row r="227" spans="1:9" x14ac:dyDescent="0.3">
      <c r="A227" s="17">
        <v>39202</v>
      </c>
      <c r="B227" s="18">
        <v>3560.9053629999999</v>
      </c>
      <c r="C227" s="18">
        <v>16.849</v>
      </c>
      <c r="D227" s="18">
        <v>15.965999999999999</v>
      </c>
      <c r="E227" s="22">
        <v>2.3204641149461969</v>
      </c>
      <c r="F227" s="19">
        <f t="shared" si="9"/>
        <v>211.34223769956674</v>
      </c>
      <c r="G227" s="20">
        <f t="shared" si="10"/>
        <v>1.8942820778554248E-2</v>
      </c>
      <c r="H227" s="20"/>
      <c r="I227" s="21">
        <f t="shared" si="11"/>
        <v>185.73398002184729</v>
      </c>
    </row>
    <row r="228" spans="1:9" x14ac:dyDescent="0.3">
      <c r="A228" s="17">
        <v>39172</v>
      </c>
      <c r="B228" s="18">
        <v>3410.4960000000001</v>
      </c>
      <c r="C228" s="18">
        <v>16.443000000000001</v>
      </c>
      <c r="D228" s="18">
        <v>15.948</v>
      </c>
      <c r="E228" s="22">
        <v>2.2799593104884108</v>
      </c>
      <c r="F228" s="19">
        <f t="shared" si="9"/>
        <v>207.41324575807334</v>
      </c>
      <c r="G228" s="20">
        <f t="shared" si="10"/>
        <v>4.1838658334135248E-2</v>
      </c>
      <c r="H228" s="20"/>
      <c r="I228" s="21">
        <f t="shared" si="11"/>
        <v>184.02676284333265</v>
      </c>
    </row>
    <row r="229" spans="1:9" x14ac:dyDescent="0.3">
      <c r="A229" s="17">
        <v>39141</v>
      </c>
      <c r="B229" s="18">
        <v>3349.1875209999998</v>
      </c>
      <c r="C229" s="18">
        <v>16.823</v>
      </c>
      <c r="D229" s="18">
        <v>15.808</v>
      </c>
      <c r="E229" s="22">
        <v>2.2864433258005024</v>
      </c>
      <c r="F229" s="19">
        <f t="shared" si="9"/>
        <v>199.08384479581522</v>
      </c>
      <c r="G229" s="20">
        <f t="shared" si="10"/>
        <v>1.0229980785030568E-2</v>
      </c>
      <c r="H229" s="20"/>
      <c r="I229" s="21">
        <f t="shared" si="11"/>
        <v>182.356299777994</v>
      </c>
    </row>
    <row r="230" spans="1:9" x14ac:dyDescent="0.3">
      <c r="A230" s="17">
        <v>39113</v>
      </c>
      <c r="B230" s="18">
        <v>3366.7070560000002</v>
      </c>
      <c r="C230" s="18">
        <v>17.084</v>
      </c>
      <c r="D230" s="18">
        <v>15.782</v>
      </c>
      <c r="E230" s="22">
        <v>2.2920226065725746</v>
      </c>
      <c r="F230" s="19">
        <f t="shared" si="9"/>
        <v>197.06784453289629</v>
      </c>
      <c r="G230" s="20">
        <f t="shared" si="10"/>
        <v>-2.8234141344165575E-3</v>
      </c>
      <c r="H230" s="20"/>
      <c r="I230" s="21">
        <f t="shared" si="11"/>
        <v>181.06956554585395</v>
      </c>
    </row>
    <row r="231" spans="1:9" x14ac:dyDescent="0.3">
      <c r="A231" s="17">
        <v>39082</v>
      </c>
      <c r="B231" s="18">
        <v>3327.4259999999999</v>
      </c>
      <c r="C231" s="18">
        <v>16.837</v>
      </c>
      <c r="D231" s="18">
        <v>15.836</v>
      </c>
      <c r="E231" s="22">
        <v>2.2887581220464748</v>
      </c>
      <c r="F231" s="19">
        <f t="shared" si="9"/>
        <v>197.62582407792362</v>
      </c>
      <c r="G231" s="20">
        <f t="shared" si="10"/>
        <v>2.2721601772817124E-3</v>
      </c>
      <c r="H231" s="20"/>
      <c r="I231" s="21">
        <f t="shared" si="11"/>
        <v>179.73637563026708</v>
      </c>
    </row>
    <row r="232" spans="1:9" x14ac:dyDescent="0.3">
      <c r="A232" s="17">
        <v>39051</v>
      </c>
      <c r="B232" s="18">
        <v>3261.123709</v>
      </c>
      <c r="C232" s="18">
        <v>16.539000000000001</v>
      </c>
      <c r="D232" s="18">
        <v>15.875</v>
      </c>
      <c r="E232" s="22">
        <v>2.2812332401564772</v>
      </c>
      <c r="F232" s="19">
        <f t="shared" si="9"/>
        <v>197.17780452264344</v>
      </c>
      <c r="G232" s="20">
        <f t="shared" si="10"/>
        <v>3.0558526181144741E-2</v>
      </c>
      <c r="H232" s="20"/>
      <c r="I232" s="21">
        <f t="shared" si="11"/>
        <v>178.1100621350256</v>
      </c>
    </row>
    <row r="233" spans="1:9" x14ac:dyDescent="0.3">
      <c r="A233" s="17">
        <v>39021</v>
      </c>
      <c r="B233" s="18">
        <v>3183.174027</v>
      </c>
      <c r="C233" s="18">
        <v>16.637</v>
      </c>
      <c r="D233" s="18">
        <v>15.835000000000001</v>
      </c>
      <c r="E233" s="22">
        <v>2.2869037184201302</v>
      </c>
      <c r="F233" s="19">
        <f t="shared" si="9"/>
        <v>191.33101081925827</v>
      </c>
      <c r="G233" s="20">
        <f t="shared" si="10"/>
        <v>6.6678455658277791E-3</v>
      </c>
      <c r="H233" s="20"/>
      <c r="I233" s="21">
        <f t="shared" si="11"/>
        <v>176.20328789626382</v>
      </c>
    </row>
    <row r="234" spans="1:9" x14ac:dyDescent="0.3">
      <c r="A234" s="17">
        <v>38990</v>
      </c>
      <c r="B234" s="18">
        <v>3070.4789999999998</v>
      </c>
      <c r="C234" s="18">
        <v>16.155000000000001</v>
      </c>
      <c r="D234" s="18">
        <v>15.84</v>
      </c>
      <c r="E234" s="22">
        <v>2.2892401472539792</v>
      </c>
      <c r="F234" s="19">
        <f t="shared" si="9"/>
        <v>190.06369545032496</v>
      </c>
      <c r="G234" s="20">
        <f t="shared" si="10"/>
        <v>3.1404115461766136E-2</v>
      </c>
      <c r="H234" s="20"/>
      <c r="I234" s="21">
        <f t="shared" si="11"/>
        <v>174.52242979370891</v>
      </c>
    </row>
    <row r="235" spans="1:9" x14ac:dyDescent="0.3">
      <c r="A235" s="17">
        <v>38960</v>
      </c>
      <c r="B235" s="18">
        <v>3034.2993230000002</v>
      </c>
      <c r="C235" s="18">
        <v>16.466000000000001</v>
      </c>
      <c r="D235" s="18">
        <v>15.476000000000001</v>
      </c>
      <c r="E235" s="22">
        <v>2.2893210234031791</v>
      </c>
      <c r="F235" s="19">
        <f t="shared" si="9"/>
        <v>184.27665024899792</v>
      </c>
      <c r="G235" s="20">
        <f t="shared" si="10"/>
        <v>2.1034869745423013E-2</v>
      </c>
      <c r="H235" s="20"/>
      <c r="I235" s="21">
        <f t="shared" si="11"/>
        <v>172.57977158663186</v>
      </c>
    </row>
    <row r="236" spans="1:9" x14ac:dyDescent="0.3">
      <c r="A236" s="17">
        <v>38929</v>
      </c>
      <c r="B236" s="18">
        <v>2957.530205</v>
      </c>
      <c r="C236" s="18">
        <v>16.387</v>
      </c>
      <c r="D236" s="18">
        <v>15.227</v>
      </c>
      <c r="E236" s="22">
        <v>2.2718902956259113</v>
      </c>
      <c r="F236" s="19">
        <f t="shared" si="9"/>
        <v>180.48027125160186</v>
      </c>
      <c r="G236" s="20">
        <f t="shared" si="10"/>
        <v>2.9145008541773487E-2</v>
      </c>
      <c r="H236" s="20"/>
      <c r="I236" s="21">
        <f t="shared" si="11"/>
        <v>170.90878892057958</v>
      </c>
    </row>
    <row r="237" spans="1:9" x14ac:dyDescent="0.3">
      <c r="A237" s="17">
        <v>38898</v>
      </c>
      <c r="B237" s="18">
        <v>2939.1867240000001</v>
      </c>
      <c r="C237" s="18">
        <v>16.760000000000002</v>
      </c>
      <c r="D237" s="18">
        <v>15.116</v>
      </c>
      <c r="E237" s="22">
        <v>2.2665045397917138</v>
      </c>
      <c r="F237" s="19">
        <f t="shared" si="9"/>
        <v>175.36913627684964</v>
      </c>
      <c r="G237" s="20">
        <f t="shared" si="10"/>
        <v>-5.8406582360783776E-3</v>
      </c>
      <c r="H237" s="20"/>
      <c r="I237" s="21">
        <f t="shared" si="11"/>
        <v>169.31354186540921</v>
      </c>
    </row>
    <row r="238" spans="1:9" x14ac:dyDescent="0.3">
      <c r="A238" s="17">
        <v>38868</v>
      </c>
      <c r="B238" s="18">
        <v>2940.0492170000002</v>
      </c>
      <c r="C238" s="18">
        <v>16.667000000000002</v>
      </c>
      <c r="D238" s="18">
        <v>15.097</v>
      </c>
      <c r="E238" s="22">
        <v>2.2743650715422392</v>
      </c>
      <c r="F238" s="19">
        <f t="shared" si="9"/>
        <v>176.39942503149936</v>
      </c>
      <c r="G238" s="20">
        <f t="shared" si="10"/>
        <v>1.8980591437628647E-2</v>
      </c>
      <c r="H238" s="20"/>
      <c r="I238" s="21">
        <f t="shared" si="11"/>
        <v>168.1024229831211</v>
      </c>
    </row>
    <row r="239" spans="1:9" x14ac:dyDescent="0.3">
      <c r="A239" s="17">
        <v>38837</v>
      </c>
      <c r="B239" s="18">
        <v>3044.03</v>
      </c>
      <c r="C239" s="18">
        <v>17.584</v>
      </c>
      <c r="D239" s="18">
        <v>15.083</v>
      </c>
      <c r="E239" s="22">
        <v>2.1926425749956957</v>
      </c>
      <c r="F239" s="19">
        <f t="shared" si="9"/>
        <v>173.11362602365787</v>
      </c>
      <c r="G239" s="20">
        <f t="shared" si="10"/>
        <v>2.7782564449515545E-2</v>
      </c>
      <c r="H239" s="20"/>
      <c r="I239" s="21">
        <f t="shared" si="11"/>
        <v>166.02817247102652</v>
      </c>
    </row>
    <row r="240" spans="1:9" x14ac:dyDescent="0.3">
      <c r="A240" s="17">
        <v>38807</v>
      </c>
      <c r="B240" s="18">
        <v>2954.3340250000001</v>
      </c>
      <c r="C240" s="18">
        <v>17.54</v>
      </c>
      <c r="D240" s="18">
        <v>15.145</v>
      </c>
      <c r="E240" s="22">
        <v>2.2711113401666205</v>
      </c>
      <c r="F240" s="19">
        <f t="shared" si="9"/>
        <v>168.4340949258837</v>
      </c>
      <c r="G240" s="20">
        <f t="shared" si="10"/>
        <v>4.465434777085453E-2</v>
      </c>
      <c r="H240" s="20"/>
      <c r="I240" s="21">
        <f t="shared" si="11"/>
        <v>163.66635462014941</v>
      </c>
    </row>
    <row r="241" spans="1:9" x14ac:dyDescent="0.3">
      <c r="A241" s="17">
        <v>38776</v>
      </c>
      <c r="B241" s="18">
        <v>2890.7694630000001</v>
      </c>
      <c r="C241" s="18">
        <v>17.928999999999998</v>
      </c>
      <c r="D241" s="18">
        <v>14.962</v>
      </c>
      <c r="E241" s="22">
        <v>2.2637529336742235</v>
      </c>
      <c r="F241" s="19">
        <f t="shared" si="9"/>
        <v>161.23428317251381</v>
      </c>
      <c r="G241" s="20">
        <f t="shared" si="10"/>
        <v>-5.9754651808197057E-4</v>
      </c>
      <c r="H241" s="20"/>
      <c r="I241" s="21">
        <f t="shared" si="11"/>
        <v>161.28248446728225</v>
      </c>
    </row>
    <row r="242" spans="1:9" x14ac:dyDescent="0.3">
      <c r="A242" s="17">
        <v>38748</v>
      </c>
      <c r="B242" s="18">
        <v>2895.0791559999998</v>
      </c>
      <c r="C242" s="18">
        <v>17.945</v>
      </c>
      <c r="D242" s="18">
        <v>14.952999999999999</v>
      </c>
      <c r="E242" s="22">
        <v>2.2839346013421524</v>
      </c>
      <c r="F242" s="19">
        <f t="shared" si="9"/>
        <v>161.33068576205071</v>
      </c>
      <c r="G242" s="20"/>
      <c r="H242" s="20"/>
      <c r="I242" s="21">
        <f t="shared" si="11"/>
        <v>161.33068576205071</v>
      </c>
    </row>
    <row r="243" spans="1:9" x14ac:dyDescent="0.3">
      <c r="A243" s="17">
        <v>38717</v>
      </c>
      <c r="B243" s="18">
        <v>2771.33</v>
      </c>
      <c r="C243" s="18"/>
      <c r="D243" s="18"/>
      <c r="E243" s="22">
        <v>2.2875000278354429</v>
      </c>
      <c r="F243" s="19"/>
      <c r="G243" s="20"/>
      <c r="H243" s="20"/>
      <c r="I243" s="21"/>
    </row>
    <row r="244" spans="1:9" x14ac:dyDescent="0.3">
      <c r="A244" s="17">
        <v>38686</v>
      </c>
      <c r="B244" s="18">
        <v>2711.2629999999999</v>
      </c>
      <c r="C244" s="18"/>
      <c r="D244" s="18"/>
      <c r="E244" s="22">
        <v>2.307529781701767</v>
      </c>
      <c r="F244" s="19"/>
      <c r="G244" s="20"/>
      <c r="H244" s="20"/>
      <c r="I244" s="21"/>
    </row>
    <row r="245" spans="1:9" x14ac:dyDescent="0.3">
      <c r="A245" s="17">
        <v>38656</v>
      </c>
      <c r="B245" s="18">
        <v>2623.8380000000002</v>
      </c>
      <c r="C245" s="18"/>
      <c r="D245" s="18"/>
      <c r="E245" s="22">
        <v>2.264948060129468</v>
      </c>
      <c r="F245" s="19"/>
      <c r="G245" s="20"/>
      <c r="H245" s="20"/>
      <c r="I245" s="21"/>
    </row>
    <row r="246" spans="1:9" x14ac:dyDescent="0.3">
      <c r="A246" s="17">
        <v>38625</v>
      </c>
      <c r="B246" s="18">
        <v>2689.078</v>
      </c>
      <c r="C246" s="18"/>
      <c r="D246" s="18"/>
      <c r="E246" s="22">
        <v>2.2825516746298513</v>
      </c>
      <c r="F246" s="19"/>
      <c r="G246" s="20"/>
      <c r="H246" s="20"/>
      <c r="I246" s="21"/>
    </row>
    <row r="247" spans="1:9" x14ac:dyDescent="0.3">
      <c r="A247" s="17">
        <v>38595</v>
      </c>
      <c r="B247" s="18">
        <v>2621.0010000000002</v>
      </c>
      <c r="C247" s="18"/>
      <c r="D247" s="18"/>
      <c r="E247" s="22">
        <v>2.2801742115383661</v>
      </c>
      <c r="F247" s="19"/>
      <c r="G247" s="20"/>
      <c r="H247" s="20"/>
      <c r="I247" s="21"/>
    </row>
    <row r="248" spans="1:9" x14ac:dyDescent="0.3">
      <c r="A248" s="17">
        <v>38564</v>
      </c>
      <c r="B248" s="18">
        <v>2601.3989999999999</v>
      </c>
      <c r="C248" s="18"/>
      <c r="D248" s="18"/>
      <c r="E248" s="22">
        <v>2.2617897053566427</v>
      </c>
      <c r="F248" s="19"/>
      <c r="G248" s="20"/>
      <c r="H248" s="20"/>
      <c r="I248" s="21"/>
    </row>
    <row r="249" spans="1:9" x14ac:dyDescent="0.3">
      <c r="A249" s="17">
        <v>38533</v>
      </c>
      <c r="B249" s="18">
        <v>2513.5949999999998</v>
      </c>
      <c r="C249" s="18"/>
      <c r="D249" s="18"/>
      <c r="E249" s="22">
        <v>2.2836581024908043</v>
      </c>
      <c r="F249" s="19"/>
      <c r="G249" s="20"/>
      <c r="H249" s="20"/>
      <c r="I249" s="21"/>
    </row>
    <row r="250" spans="1:9" x14ac:dyDescent="0.3">
      <c r="A250" s="17">
        <v>38503</v>
      </c>
      <c r="B250" s="18">
        <v>2492.0309999999999</v>
      </c>
      <c r="C250" s="18"/>
      <c r="D250" s="18"/>
      <c r="E250" s="22">
        <v>2.2737117745076363</v>
      </c>
      <c r="F250" s="19"/>
      <c r="G250" s="20"/>
      <c r="H250" s="20"/>
      <c r="I250" s="21"/>
    </row>
    <row r="251" spans="1:9" x14ac:dyDescent="0.3">
      <c r="A251" s="17">
        <v>38472</v>
      </c>
      <c r="B251" s="18">
        <v>2448.5279999999998</v>
      </c>
      <c r="C251" s="18"/>
      <c r="D251" s="18"/>
      <c r="E251" s="22">
        <v>2.2460918229468607</v>
      </c>
      <c r="F251" s="19"/>
      <c r="G251" s="20"/>
      <c r="H251" s="20"/>
      <c r="I251" s="21"/>
    </row>
    <row r="252" spans="1:9" x14ac:dyDescent="0.3">
      <c r="A252" s="17">
        <v>38442</v>
      </c>
      <c r="B252" s="18">
        <v>2503.0680000000002</v>
      </c>
      <c r="C252" s="18"/>
      <c r="D252" s="18"/>
      <c r="E252" s="22">
        <v>2.1858567920324923</v>
      </c>
      <c r="F252" s="19"/>
      <c r="G252" s="20"/>
      <c r="H252" s="20"/>
      <c r="I252" s="21"/>
    </row>
    <row r="253" spans="1:9" x14ac:dyDescent="0.3">
      <c r="A253" s="17">
        <v>38411</v>
      </c>
      <c r="B253" s="18">
        <v>2552.6179999999999</v>
      </c>
      <c r="C253" s="18"/>
      <c r="D253" s="18"/>
      <c r="E253" s="22">
        <v>2.1767939401900582</v>
      </c>
      <c r="F253" s="19"/>
      <c r="G253" s="20"/>
      <c r="H253" s="20"/>
      <c r="I253" s="21"/>
    </row>
    <row r="254" spans="1:9" x14ac:dyDescent="0.3">
      <c r="A254" s="17">
        <v>38383</v>
      </c>
      <c r="B254" s="18">
        <v>2474.239</v>
      </c>
      <c r="C254" s="18"/>
      <c r="D254" s="18"/>
      <c r="E254" s="22">
        <v>2.1292373904149953</v>
      </c>
      <c r="F254" s="19"/>
      <c r="G254" s="20"/>
      <c r="H254" s="20"/>
      <c r="I254" s="21"/>
    </row>
    <row r="255" spans="1:9" x14ac:dyDescent="0.3">
      <c r="A255" s="17">
        <v>38352</v>
      </c>
      <c r="B255" s="18">
        <v>2531.2280000000001</v>
      </c>
      <c r="C255" s="18"/>
      <c r="D255" s="18"/>
      <c r="E255" s="22">
        <v>2.1362790296164391</v>
      </c>
      <c r="F255" s="19"/>
      <c r="G255" s="20"/>
      <c r="H255" s="20"/>
      <c r="I255" s="21"/>
    </row>
    <row r="256" spans="1:9" x14ac:dyDescent="0.3">
      <c r="A256" s="17">
        <v>38321</v>
      </c>
      <c r="B256" s="18">
        <v>2438.1559999999999</v>
      </c>
      <c r="C256" s="18"/>
      <c r="D256" s="18"/>
      <c r="E256" s="22">
        <v>2.1317480918636056</v>
      </c>
      <c r="F256" s="19"/>
      <c r="G256" s="20"/>
      <c r="H256" s="20"/>
      <c r="I256" s="21"/>
    </row>
    <row r="257" spans="1:9" x14ac:dyDescent="0.3">
      <c r="A257" s="17">
        <v>38291</v>
      </c>
      <c r="B257" s="18">
        <v>2316.4690000000001</v>
      </c>
      <c r="C257" s="18"/>
      <c r="D257" s="18"/>
      <c r="E257" s="22">
        <v>2.099144214036941</v>
      </c>
      <c r="F257" s="19"/>
      <c r="G257" s="20"/>
      <c r="H257" s="20"/>
      <c r="I257" s="21"/>
    </row>
    <row r="258" spans="1:9" x14ac:dyDescent="0.3">
      <c r="A258" s="17">
        <v>38260</v>
      </c>
      <c r="B258" s="18">
        <v>2261.1379999999999</v>
      </c>
      <c r="C258" s="18"/>
      <c r="D258" s="18"/>
      <c r="E258" s="22">
        <v>2.1145516429035949</v>
      </c>
      <c r="F258" s="19"/>
      <c r="G258" s="20"/>
      <c r="H258" s="20"/>
      <c r="I258" s="21"/>
    </row>
    <row r="259" spans="1:9" x14ac:dyDescent="0.3">
      <c r="A259" s="17">
        <v>38230</v>
      </c>
      <c r="B259" s="18">
        <v>2219.1570000000002</v>
      </c>
      <c r="C259" s="18"/>
      <c r="D259" s="18"/>
      <c r="E259" s="22">
        <v>2.120861151995812</v>
      </c>
      <c r="F259" s="19"/>
      <c r="G259" s="20"/>
      <c r="H259" s="20"/>
      <c r="I259" s="21"/>
    </row>
    <row r="260" spans="1:9" x14ac:dyDescent="0.3">
      <c r="A260" s="17">
        <v>38199</v>
      </c>
      <c r="B260" s="18">
        <v>2209.4459999999999</v>
      </c>
      <c r="C260" s="18"/>
      <c r="D260" s="18"/>
      <c r="E260" s="22">
        <v>2.1029257137929358</v>
      </c>
      <c r="F260" s="19"/>
      <c r="G260" s="20"/>
      <c r="H260" s="20"/>
      <c r="I260" s="21"/>
    </row>
    <row r="261" spans="1:9" x14ac:dyDescent="0.3">
      <c r="A261" s="17">
        <v>38168</v>
      </c>
      <c r="B261" s="18">
        <v>2284.0189999999998</v>
      </c>
      <c r="C261" s="18"/>
      <c r="D261" s="18"/>
      <c r="E261" s="22">
        <v>2.1230963224932564</v>
      </c>
      <c r="F261" s="19"/>
      <c r="G261" s="20"/>
      <c r="H261" s="20"/>
      <c r="I261" s="21"/>
    </row>
    <row r="262" spans="1:9" x14ac:dyDescent="0.3">
      <c r="A262" s="17">
        <v>38138</v>
      </c>
      <c r="B262" s="18">
        <v>2238.0740000000001</v>
      </c>
      <c r="C262" s="18"/>
      <c r="D262" s="18"/>
      <c r="E262" s="22">
        <v>2.1386424698726758</v>
      </c>
      <c r="F262" s="19"/>
      <c r="G262" s="20"/>
      <c r="H262" s="20"/>
      <c r="I262" s="21"/>
    </row>
    <row r="263" spans="1:9" x14ac:dyDescent="0.3">
      <c r="A263" s="17">
        <v>38107</v>
      </c>
      <c r="B263" s="18">
        <v>2217.8670000000002</v>
      </c>
      <c r="C263" s="18"/>
      <c r="D263" s="18"/>
      <c r="E263" s="22">
        <v>2.1284470165051639</v>
      </c>
      <c r="F263" s="19"/>
      <c r="G263" s="20"/>
      <c r="H263" s="20"/>
      <c r="I263" s="21"/>
    </row>
    <row r="264" spans="1:9" x14ac:dyDescent="0.3">
      <c r="A264" s="17">
        <v>38077</v>
      </c>
      <c r="B264" s="18">
        <v>2264.2420000000002</v>
      </c>
      <c r="C264" s="18"/>
      <c r="D264" s="18"/>
      <c r="E264" s="22">
        <v>2.1667039829011525</v>
      </c>
      <c r="F264" s="19"/>
      <c r="G264" s="20"/>
      <c r="H264" s="20"/>
      <c r="I264" s="21"/>
    </row>
    <row r="265" spans="1:9" x14ac:dyDescent="0.3">
      <c r="A265" s="17">
        <v>38046</v>
      </c>
      <c r="B265" s="18">
        <v>2279.3670000000002</v>
      </c>
      <c r="C265" s="18"/>
      <c r="D265" s="18"/>
      <c r="E265" s="22">
        <v>2.1906663322594389</v>
      </c>
      <c r="F265" s="19"/>
      <c r="G265" s="20"/>
      <c r="H265" s="20"/>
      <c r="I265" s="21"/>
    </row>
    <row r="266" spans="1:9" x14ac:dyDescent="0.3">
      <c r="A266" s="17">
        <v>38017</v>
      </c>
      <c r="B266" s="18">
        <v>2241.8270000000002</v>
      </c>
      <c r="C266" s="18"/>
      <c r="D266" s="18"/>
      <c r="E266" s="22">
        <v>2.2338652968625361</v>
      </c>
      <c r="F266" s="19"/>
      <c r="G266" s="20"/>
      <c r="H266" s="20"/>
      <c r="I266" s="21"/>
    </row>
    <row r="267" spans="1:9" x14ac:dyDescent="0.3">
      <c r="A267" s="17">
        <v>37986</v>
      </c>
      <c r="B267" s="18">
        <v>2206.4229999999998</v>
      </c>
      <c r="C267" s="18"/>
      <c r="D267" s="18"/>
      <c r="E267" s="22">
        <v>2.2543258554854839</v>
      </c>
      <c r="F267" s="19"/>
      <c r="G267" s="20"/>
      <c r="H267" s="20"/>
      <c r="I267" s="21"/>
    </row>
    <row r="268" spans="1:9" x14ac:dyDescent="0.3">
      <c r="E268" s="23"/>
    </row>
    <row r="269" spans="1:9" x14ac:dyDescent="0.3">
      <c r="E269" s="23"/>
    </row>
    <row r="270" spans="1:9" x14ac:dyDescent="0.3">
      <c r="E270" s="23"/>
    </row>
    <row r="271" spans="1:9" x14ac:dyDescent="0.3">
      <c r="E271" s="23"/>
    </row>
    <row r="272" spans="1:9" x14ac:dyDescent="0.3">
      <c r="E272" s="23"/>
    </row>
    <row r="273" spans="5:5" x14ac:dyDescent="0.3">
      <c r="E273" s="23"/>
    </row>
    <row r="274" spans="5:5" x14ac:dyDescent="0.3">
      <c r="E274" s="23"/>
    </row>
    <row r="275" spans="5:5" x14ac:dyDescent="0.3">
      <c r="E275" s="23"/>
    </row>
    <row r="276" spans="5:5" x14ac:dyDescent="0.3">
      <c r="E276" s="23"/>
    </row>
    <row r="277" spans="5:5" x14ac:dyDescent="0.3">
      <c r="E277" s="23"/>
    </row>
    <row r="278" spans="5:5" x14ac:dyDescent="0.3">
      <c r="E278" s="23"/>
    </row>
    <row r="279" spans="5:5" x14ac:dyDescent="0.3">
      <c r="E279" s="23"/>
    </row>
    <row r="280" spans="5:5" x14ac:dyDescent="0.3">
      <c r="E280" s="23"/>
    </row>
    <row r="281" spans="5:5" x14ac:dyDescent="0.3">
      <c r="E281" s="23"/>
    </row>
    <row r="282" spans="5:5" x14ac:dyDescent="0.3">
      <c r="E282" s="23"/>
    </row>
    <row r="283" spans="5:5" x14ac:dyDescent="0.3">
      <c r="E283" s="23"/>
    </row>
    <row r="284" spans="5:5" x14ac:dyDescent="0.3">
      <c r="E284" s="23"/>
    </row>
    <row r="285" spans="5:5" x14ac:dyDescent="0.3">
      <c r="E285" s="23"/>
    </row>
    <row r="286" spans="5:5" x14ac:dyDescent="0.3">
      <c r="E286" s="23"/>
    </row>
    <row r="287" spans="5:5" x14ac:dyDescent="0.3">
      <c r="E287" s="23"/>
    </row>
    <row r="288" spans="5:5" x14ac:dyDescent="0.3">
      <c r="E288" s="23"/>
    </row>
    <row r="289" spans="5:5" x14ac:dyDescent="0.3">
      <c r="E289" s="23"/>
    </row>
    <row r="290" spans="5:5" x14ac:dyDescent="0.3">
      <c r="E290" s="23"/>
    </row>
    <row r="291" spans="5:5" x14ac:dyDescent="0.3">
      <c r="E291" s="23"/>
    </row>
    <row r="292" spans="5:5" x14ac:dyDescent="0.3">
      <c r="E292" s="23"/>
    </row>
    <row r="293" spans="5:5" x14ac:dyDescent="0.3">
      <c r="E293" s="23"/>
    </row>
    <row r="294" spans="5:5" x14ac:dyDescent="0.3">
      <c r="E294" s="23"/>
    </row>
    <row r="295" spans="5:5" x14ac:dyDescent="0.3">
      <c r="E295" s="23"/>
    </row>
    <row r="296" spans="5:5" x14ac:dyDescent="0.3">
      <c r="E296" s="23"/>
    </row>
    <row r="297" spans="5:5" x14ac:dyDescent="0.3">
      <c r="E297" s="23"/>
    </row>
    <row r="298" spans="5:5" x14ac:dyDescent="0.3">
      <c r="E298" s="23"/>
    </row>
    <row r="299" spans="5:5" x14ac:dyDescent="0.3">
      <c r="E299" s="23"/>
    </row>
    <row r="300" spans="5:5" x14ac:dyDescent="0.3">
      <c r="E300" s="23"/>
    </row>
    <row r="301" spans="5:5" x14ac:dyDescent="0.3">
      <c r="E301" s="23"/>
    </row>
    <row r="302" spans="5:5" x14ac:dyDescent="0.3">
      <c r="E302" s="23"/>
    </row>
    <row r="303" spans="5:5" x14ac:dyDescent="0.3">
      <c r="E303" s="23"/>
    </row>
    <row r="304" spans="5:5" x14ac:dyDescent="0.3">
      <c r="E304" s="23"/>
    </row>
    <row r="305" spans="5:5" x14ac:dyDescent="0.3">
      <c r="E305" s="23"/>
    </row>
    <row r="306" spans="5:5" x14ac:dyDescent="0.3">
      <c r="E306" s="23"/>
    </row>
    <row r="307" spans="5:5" x14ac:dyDescent="0.3">
      <c r="E307" s="23"/>
    </row>
    <row r="308" spans="5:5" x14ac:dyDescent="0.3">
      <c r="E308" s="23"/>
    </row>
    <row r="309" spans="5:5" x14ac:dyDescent="0.3">
      <c r="E309" s="23"/>
    </row>
    <row r="310" spans="5:5" x14ac:dyDescent="0.3">
      <c r="E310" s="23"/>
    </row>
    <row r="311" spans="5:5" x14ac:dyDescent="0.3">
      <c r="E311" s="23"/>
    </row>
    <row r="312" spans="5:5" x14ac:dyDescent="0.3">
      <c r="E312" s="23"/>
    </row>
    <row r="313" spans="5:5" x14ac:dyDescent="0.3">
      <c r="E313" s="23"/>
    </row>
    <row r="314" spans="5:5" x14ac:dyDescent="0.3">
      <c r="E314" s="23"/>
    </row>
    <row r="315" spans="5:5" x14ac:dyDescent="0.3">
      <c r="E315" s="23"/>
    </row>
    <row r="316" spans="5:5" x14ac:dyDescent="0.3">
      <c r="E316" s="23"/>
    </row>
    <row r="317" spans="5:5" x14ac:dyDescent="0.3">
      <c r="E317" s="23"/>
    </row>
    <row r="318" spans="5:5" x14ac:dyDescent="0.3">
      <c r="E318" s="23"/>
    </row>
    <row r="319" spans="5:5" x14ac:dyDescent="0.3">
      <c r="E319" s="23"/>
    </row>
    <row r="320" spans="5:5" x14ac:dyDescent="0.3">
      <c r="E320" s="23"/>
    </row>
    <row r="321" spans="5:5" x14ac:dyDescent="0.3">
      <c r="E321" s="23"/>
    </row>
    <row r="322" spans="5:5" x14ac:dyDescent="0.3">
      <c r="E322" s="23"/>
    </row>
    <row r="323" spans="5:5" x14ac:dyDescent="0.3">
      <c r="E323" s="23"/>
    </row>
    <row r="324" spans="5:5" x14ac:dyDescent="0.3">
      <c r="E324" s="23"/>
    </row>
    <row r="325" spans="5:5" x14ac:dyDescent="0.3">
      <c r="E325" s="23"/>
    </row>
    <row r="326" spans="5:5" x14ac:dyDescent="0.3">
      <c r="E326" s="23"/>
    </row>
    <row r="327" spans="5:5" x14ac:dyDescent="0.3">
      <c r="E327" s="23"/>
    </row>
    <row r="328" spans="5:5" x14ac:dyDescent="0.3">
      <c r="E328" s="23"/>
    </row>
    <row r="329" spans="5:5" x14ac:dyDescent="0.3">
      <c r="E329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554AE-1330-46B4-B559-CBBE2BE3937F}">
  <dimension ref="A1:I242"/>
  <sheetViews>
    <sheetView tabSelected="1" workbookViewId="0">
      <selection activeCell="D17" sqref="D17"/>
    </sheetView>
  </sheetViews>
  <sheetFormatPr defaultColWidth="20.77734375" defaultRowHeight="14.4" x14ac:dyDescent="0.3"/>
  <sheetData>
    <row r="1" spans="1:9" ht="52.8" x14ac:dyDescent="0.3">
      <c r="A1" s="1" t="s">
        <v>8</v>
      </c>
      <c r="B1" s="1" t="s">
        <v>6</v>
      </c>
      <c r="C1" s="1" t="s">
        <v>7</v>
      </c>
      <c r="D1" s="16" t="s">
        <v>9</v>
      </c>
      <c r="E1" s="1" t="s">
        <v>5</v>
      </c>
      <c r="F1" s="1" t="s">
        <v>4</v>
      </c>
      <c r="G1" s="16" t="s">
        <v>10</v>
      </c>
      <c r="H1" s="16" t="s">
        <v>11</v>
      </c>
      <c r="I1" s="16" t="s">
        <v>12</v>
      </c>
    </row>
    <row r="2" spans="1:9" x14ac:dyDescent="0.3">
      <c r="A2" s="24">
        <v>46053</v>
      </c>
      <c r="B2" s="25">
        <v>574.38298199999997</v>
      </c>
      <c r="C2" s="25">
        <v>23.38</v>
      </c>
      <c r="D2" s="25">
        <v>15.628</v>
      </c>
      <c r="E2" s="25">
        <v>1.637</v>
      </c>
      <c r="F2" s="19">
        <f t="shared" ref="F2:F65" si="0">B2/C2</f>
        <v>24.567278956372967</v>
      </c>
      <c r="G2" s="20">
        <f t="shared" ref="G2:G65" si="1">F2/F3-1</f>
        <v>1.2733164449124645E-2</v>
      </c>
      <c r="H2" s="20" cm="1">
        <f t="array" ref="H2">PRODUCT(G2:G37+1)^(1/3)-1</f>
        <v>7.8211444892156923E-2</v>
      </c>
      <c r="I2" s="21">
        <f t="shared" ref="I2:I65" si="2">AVERAGE(F2:F121)</f>
        <v>15.90851187739333</v>
      </c>
    </row>
    <row r="3" spans="1:9" x14ac:dyDescent="0.3">
      <c r="A3" s="24">
        <v>46022</v>
      </c>
      <c r="B3" s="25">
        <v>557.846002</v>
      </c>
      <c r="C3" s="25">
        <v>22.995999999999999</v>
      </c>
      <c r="D3" s="25">
        <v>15.631</v>
      </c>
      <c r="E3" s="25">
        <v>1.6679999999999999</v>
      </c>
      <c r="F3" s="19">
        <f t="shared" si="0"/>
        <v>24.258392850930598</v>
      </c>
      <c r="G3" s="20">
        <f t="shared" si="1"/>
        <v>1.3468332191027388E-2</v>
      </c>
      <c r="H3" s="20" cm="1">
        <f t="array" ref="H3">PRODUCT(G3:G38+1)^(1/3)-1</f>
        <v>7.6284136133332625E-2</v>
      </c>
      <c r="I3" s="21">
        <f t="shared" si="2"/>
        <v>15.787313096318702</v>
      </c>
    </row>
    <row r="4" spans="1:9" x14ac:dyDescent="0.3">
      <c r="A4" s="24">
        <v>45991</v>
      </c>
      <c r="B4" s="25">
        <v>552.08417799999995</v>
      </c>
      <c r="C4" s="25">
        <v>23.065000000000001</v>
      </c>
      <c r="D4" s="25">
        <v>15.635999999999999</v>
      </c>
      <c r="E4" s="25">
        <v>1.659</v>
      </c>
      <c r="F4" s="19">
        <f t="shared" si="0"/>
        <v>23.936014654238019</v>
      </c>
      <c r="G4" s="20">
        <f t="shared" si="1"/>
        <v>2.4208889386287513E-2</v>
      </c>
      <c r="H4" s="20" cm="1">
        <f t="array" ref="H4">PRODUCT(G4:G39+1)^(1/3)-1</f>
        <v>7.4918101799213099E-2</v>
      </c>
      <c r="I4" s="21">
        <f t="shared" si="2"/>
        <v>15.670637005255395</v>
      </c>
    </row>
    <row r="5" spans="1:9" x14ac:dyDescent="0.3">
      <c r="A5" s="24">
        <v>45961</v>
      </c>
      <c r="B5" s="25">
        <v>552.14545399999997</v>
      </c>
      <c r="C5" s="25">
        <v>23.626000000000001</v>
      </c>
      <c r="D5" s="25">
        <v>15.477</v>
      </c>
      <c r="E5" s="25">
        <v>1.655</v>
      </c>
      <c r="F5" s="19">
        <f t="shared" si="0"/>
        <v>23.37024693134682</v>
      </c>
      <c r="G5" s="20">
        <f t="shared" si="1"/>
        <v>2.4170994949128666E-3</v>
      </c>
      <c r="H5" s="20" cm="1">
        <f t="array" ref="H5">PRODUCT(G5:G40+1)^(1/3)-1</f>
        <v>7.8016635188917105E-2</v>
      </c>
      <c r="I5" s="21">
        <f t="shared" si="2"/>
        <v>15.555697502354406</v>
      </c>
    </row>
    <row r="6" spans="1:9" x14ac:dyDescent="0.3">
      <c r="A6" s="24">
        <v>45930</v>
      </c>
      <c r="B6" s="25">
        <v>540.06637599999999</v>
      </c>
      <c r="C6" s="25">
        <v>23.164999999999999</v>
      </c>
      <c r="D6" s="25">
        <v>15.331</v>
      </c>
      <c r="E6" s="25">
        <v>1.6970000000000001</v>
      </c>
      <c r="F6" s="19">
        <f t="shared" si="0"/>
        <v>23.31389492769264</v>
      </c>
      <c r="G6" s="20">
        <f t="shared" si="1"/>
        <v>8.9100468251077647E-3</v>
      </c>
      <c r="H6" s="20" cm="1">
        <f t="array" ref="H6">PRODUCT(G6:G41+1)^(1/3)-1</f>
        <v>7.7821288482930351E-2</v>
      </c>
      <c r="I6" s="21">
        <f t="shared" si="2"/>
        <v>15.447539758943813</v>
      </c>
    </row>
    <row r="7" spans="1:9" x14ac:dyDescent="0.3">
      <c r="A7" s="24">
        <v>45900</v>
      </c>
      <c r="B7" s="25">
        <v>521.17786699999999</v>
      </c>
      <c r="C7" s="25">
        <v>22.553999999999998</v>
      </c>
      <c r="D7" s="25">
        <v>15.218</v>
      </c>
      <c r="E7" s="25">
        <v>1.746</v>
      </c>
      <c r="F7" s="19">
        <f t="shared" si="0"/>
        <v>23.108001551831162</v>
      </c>
      <c r="G7" s="20">
        <f t="shared" si="1"/>
        <v>1.9375199763105977E-2</v>
      </c>
      <c r="H7" s="20" cm="1">
        <f t="array" ref="H7">PRODUCT(G7:G42+1)^(1/3)-1</f>
        <v>7.2589882858025589E-2</v>
      </c>
      <c r="I7" s="21">
        <f t="shared" si="2"/>
        <v>15.339296447312668</v>
      </c>
    </row>
    <row r="8" spans="1:9" x14ac:dyDescent="0.3">
      <c r="A8" s="24">
        <v>45869</v>
      </c>
      <c r="B8" s="25">
        <v>508.61962399999999</v>
      </c>
      <c r="C8" s="25">
        <v>22.437000000000001</v>
      </c>
      <c r="D8" s="25">
        <v>15.037000000000001</v>
      </c>
      <c r="E8" s="25">
        <v>1.7749999999999999</v>
      </c>
      <c r="F8" s="19">
        <f t="shared" si="0"/>
        <v>22.668789232072022</v>
      </c>
      <c r="G8" s="20">
        <f t="shared" si="1"/>
        <v>-6.5855745033605029E-3</v>
      </c>
      <c r="H8" s="20" cm="1">
        <f t="array" ref="H8">PRODUCT(G8:G43+1)^(1/3)-1</f>
        <v>6.3179382684817931E-2</v>
      </c>
      <c r="I8" s="21">
        <f t="shared" si="2"/>
        <v>15.233132750250229</v>
      </c>
    </row>
    <row r="9" spans="1:9" x14ac:dyDescent="0.3">
      <c r="A9" s="24">
        <v>45838</v>
      </c>
      <c r="B9" s="25">
        <v>501.81407799999999</v>
      </c>
      <c r="C9" s="25">
        <v>21.991</v>
      </c>
      <c r="D9" s="25">
        <v>14.984</v>
      </c>
      <c r="E9" s="25">
        <v>1.8089999999999999</v>
      </c>
      <c r="F9" s="19">
        <f t="shared" si="0"/>
        <v>22.819065890591606</v>
      </c>
      <c r="G9" s="20">
        <f t="shared" si="1"/>
        <v>9.7875296943115142E-3</v>
      </c>
      <c r="H9" s="20" cm="1">
        <f t="array" ref="H9">PRODUCT(G9:G44+1)^(1/3)-1</f>
        <v>6.1986718394801521E-2</v>
      </c>
      <c r="I9" s="21">
        <f t="shared" si="2"/>
        <v>15.130794359366519</v>
      </c>
    </row>
    <row r="10" spans="1:9" x14ac:dyDescent="0.3">
      <c r="A10" s="24">
        <v>45808</v>
      </c>
      <c r="B10" s="25">
        <v>480.25032399999998</v>
      </c>
      <c r="C10" s="25">
        <v>21.251999999999999</v>
      </c>
      <c r="D10" s="25">
        <v>14.997</v>
      </c>
      <c r="E10" s="25">
        <v>1.865</v>
      </c>
      <c r="F10" s="19">
        <f t="shared" si="0"/>
        <v>22.597888386975345</v>
      </c>
      <c r="G10" s="20">
        <f t="shared" si="1"/>
        <v>7.3217684775599423E-3</v>
      </c>
      <c r="H10" s="20" cm="1">
        <f t="array" ref="H10">PRODUCT(G10:G45+1)^(1/3)-1</f>
        <v>5.591270254273617E-2</v>
      </c>
      <c r="I10" s="21">
        <f t="shared" si="2"/>
        <v>15.027784377989402</v>
      </c>
    </row>
    <row r="11" spans="1:9" x14ac:dyDescent="0.3">
      <c r="A11" s="24">
        <v>45777</v>
      </c>
      <c r="B11" s="25">
        <v>454.14649700000001</v>
      </c>
      <c r="C11" s="25">
        <v>20.244</v>
      </c>
      <c r="D11" s="25">
        <v>15.105</v>
      </c>
      <c r="E11" s="25">
        <v>1.948</v>
      </c>
      <c r="F11" s="19">
        <f t="shared" si="0"/>
        <v>22.43363450899032</v>
      </c>
      <c r="G11" s="20">
        <f t="shared" si="1"/>
        <v>2.5580292520742898E-2</v>
      </c>
      <c r="H11" s="20" cm="1">
        <f t="array" ref="H11">PRODUCT(G11:G46+1)^(1/3)-1</f>
        <v>6.210268711866318E-2</v>
      </c>
      <c r="I11" s="21">
        <f t="shared" si="2"/>
        <v>14.926147902760132</v>
      </c>
    </row>
    <row r="12" spans="1:9" x14ac:dyDescent="0.3">
      <c r="A12" s="24">
        <v>45747</v>
      </c>
      <c r="B12" s="25">
        <v>449.95000900000002</v>
      </c>
      <c r="C12" s="25">
        <v>20.57</v>
      </c>
      <c r="D12" s="25">
        <v>15.092000000000001</v>
      </c>
      <c r="E12" s="25">
        <v>1.9159999999999999</v>
      </c>
      <c r="F12" s="19">
        <f t="shared" si="0"/>
        <v>21.874088915896937</v>
      </c>
      <c r="G12" s="20">
        <f t="shared" si="1"/>
        <v>1.8162429491077603E-2</v>
      </c>
      <c r="H12" s="20" cm="1">
        <f t="array" ref="H12">PRODUCT(G12:G47+1)^(1/3)-1</f>
        <v>4.3977567755327573E-2</v>
      </c>
      <c r="I12" s="21">
        <f t="shared" si="2"/>
        <v>14.827584052101933</v>
      </c>
    </row>
    <row r="13" spans="1:9" x14ac:dyDescent="0.3">
      <c r="A13" s="24">
        <v>45716</v>
      </c>
      <c r="B13" s="25">
        <v>468.45620600000001</v>
      </c>
      <c r="C13" s="25">
        <v>21.805</v>
      </c>
      <c r="D13" s="25">
        <v>14.975</v>
      </c>
      <c r="E13" s="25">
        <v>1.8129999999999999</v>
      </c>
      <c r="F13" s="19">
        <f t="shared" si="0"/>
        <v>21.483889291446918</v>
      </c>
      <c r="G13" s="20">
        <f t="shared" si="1"/>
        <v>1.9913361709460453E-2</v>
      </c>
      <c r="H13" s="20" cm="1">
        <f t="array" ref="H13">PRODUCT(G13:G48+1)^(1/3)-1</f>
        <v>4.3002076910093834E-2</v>
      </c>
      <c r="I13" s="21">
        <f t="shared" si="2"/>
        <v>14.732207666887509</v>
      </c>
    </row>
    <row r="14" spans="1:9" x14ac:dyDescent="0.3">
      <c r="A14" s="24">
        <v>45688</v>
      </c>
      <c r="B14" s="25">
        <v>471.29546199999999</v>
      </c>
      <c r="C14" s="25">
        <v>22.373999999999999</v>
      </c>
      <c r="D14" s="25">
        <v>14.956</v>
      </c>
      <c r="E14" s="25">
        <v>1.778</v>
      </c>
      <c r="F14" s="19">
        <f t="shared" si="0"/>
        <v>21.064425762045232</v>
      </c>
      <c r="G14" s="20">
        <f t="shared" si="1"/>
        <v>1.4672218272659965E-2</v>
      </c>
      <c r="H14" s="20" cm="1">
        <f t="array" ref="H14">PRODUCT(G14:G49+1)^(1/3)-1</f>
        <v>8.6722197856490046E-2</v>
      </c>
      <c r="I14" s="21">
        <f t="shared" si="2"/>
        <v>14.643228041716302</v>
      </c>
    </row>
    <row r="15" spans="1:9" x14ac:dyDescent="0.3">
      <c r="A15" s="24">
        <v>45657</v>
      </c>
      <c r="B15" s="25">
        <v>455.98973100000001</v>
      </c>
      <c r="C15" s="25">
        <v>21.965</v>
      </c>
      <c r="D15" s="25">
        <v>14.813000000000001</v>
      </c>
      <c r="E15" s="25">
        <v>1.823</v>
      </c>
      <c r="F15" s="19">
        <f t="shared" si="0"/>
        <v>20.759832961529707</v>
      </c>
      <c r="G15" s="20">
        <f t="shared" si="1"/>
        <v>-4.9140302314266693E-3</v>
      </c>
      <c r="H15" s="20" cm="1">
        <f t="array" ref="H15">PRODUCT(G15:G50+1)^(1/3)-1</f>
        <v>6.3456368058897539E-2</v>
      </c>
      <c r="I15" s="21">
        <f t="shared" si="2"/>
        <v>14.557221634723415</v>
      </c>
    </row>
    <row r="16" spans="1:9" x14ac:dyDescent="0.3">
      <c r="A16" s="24">
        <v>45626</v>
      </c>
      <c r="B16" s="25">
        <v>467.045456</v>
      </c>
      <c r="C16" s="25">
        <v>22.387</v>
      </c>
      <c r="D16" s="25">
        <v>14.72</v>
      </c>
      <c r="E16" s="25">
        <v>1.792</v>
      </c>
      <c r="F16" s="19">
        <f t="shared" si="0"/>
        <v>20.862351185956136</v>
      </c>
      <c r="G16" s="20">
        <f t="shared" si="1"/>
        <v>-6.0164824985839971E-3</v>
      </c>
      <c r="H16" s="20" cm="1">
        <f t="array" ref="H16">PRODUCT(G16:G51+1)^(1/3)-1</f>
        <v>7.922148608840196E-2</v>
      </c>
      <c r="I16" s="21">
        <f t="shared" si="2"/>
        <v>14.474615295018786</v>
      </c>
    </row>
    <row r="17" spans="1:9" x14ac:dyDescent="0.3">
      <c r="A17" s="24">
        <v>45596</v>
      </c>
      <c r="B17" s="25">
        <v>450.20609000000002</v>
      </c>
      <c r="C17" s="25">
        <v>21.45</v>
      </c>
      <c r="D17" s="25">
        <v>14.743</v>
      </c>
      <c r="E17" s="25">
        <v>1.863</v>
      </c>
      <c r="F17" s="19">
        <f t="shared" si="0"/>
        <v>20.988628904428907</v>
      </c>
      <c r="G17" s="20">
        <f t="shared" si="1"/>
        <v>-8.4101556027911251E-3</v>
      </c>
      <c r="H17" s="20" cm="1">
        <f t="array" ref="H17">PRODUCT(G17:G52+1)^(1/3)-1</f>
        <v>7.2643985398681998E-2</v>
      </c>
      <c r="I17" s="21">
        <f t="shared" si="2"/>
        <v>14.392087741816164</v>
      </c>
    </row>
    <row r="18" spans="1:9" x14ac:dyDescent="0.3">
      <c r="A18" s="24">
        <v>45565</v>
      </c>
      <c r="B18" s="25">
        <v>460.54383300000001</v>
      </c>
      <c r="C18" s="25">
        <v>21.757999999999999</v>
      </c>
      <c r="D18" s="25">
        <v>14.634</v>
      </c>
      <c r="E18" s="25">
        <v>1.8480000000000001</v>
      </c>
      <c r="F18" s="19">
        <f t="shared" si="0"/>
        <v>21.166643671293318</v>
      </c>
      <c r="G18" s="20">
        <f t="shared" si="1"/>
        <v>7.9470511819883516E-3</v>
      </c>
      <c r="H18" s="20" cm="1">
        <f t="array" ref="H18">PRODUCT(G18:G53+1)^(1/3)-1</f>
        <v>9.3667093201010188E-2</v>
      </c>
      <c r="I18" s="21">
        <f t="shared" si="2"/>
        <v>14.308004388253091</v>
      </c>
    </row>
    <row r="19" spans="1:9" x14ac:dyDescent="0.3">
      <c r="A19" s="24">
        <v>45535</v>
      </c>
      <c r="B19" s="25">
        <v>450.08780300000001</v>
      </c>
      <c r="C19" s="25">
        <v>21.433</v>
      </c>
      <c r="D19" s="25">
        <v>14.644</v>
      </c>
      <c r="E19" s="25">
        <v>1.867</v>
      </c>
      <c r="F19" s="19">
        <f t="shared" si="0"/>
        <v>20.999757523445155</v>
      </c>
      <c r="G19" s="20">
        <f t="shared" si="1"/>
        <v>1.8602944979534408E-2</v>
      </c>
      <c r="H19" s="20" cm="1">
        <f t="array" ref="H19">PRODUCT(G19:G54+1)^(1/3)-1</f>
        <v>7.5553477305573713E-2</v>
      </c>
      <c r="I19" s="21">
        <f t="shared" si="2"/>
        <v>14.222753146826133</v>
      </c>
    </row>
    <row r="20" spans="1:9" x14ac:dyDescent="0.3">
      <c r="A20" s="24">
        <v>45504</v>
      </c>
      <c r="B20" s="25">
        <v>438.94025599999998</v>
      </c>
      <c r="C20" s="25">
        <v>21.291</v>
      </c>
      <c r="D20" s="25">
        <v>14.738</v>
      </c>
      <c r="E20" s="25">
        <v>1.885</v>
      </c>
      <c r="F20" s="19">
        <f t="shared" si="0"/>
        <v>20.616234841012634</v>
      </c>
      <c r="G20" s="20">
        <f t="shared" si="1"/>
        <v>1.3741201193822272E-2</v>
      </c>
      <c r="H20" s="20" cm="1">
        <f t="array" ref="H20">PRODUCT(G20:G55+1)^(1/3)-1</f>
        <v>0.11933935629856318</v>
      </c>
      <c r="I20" s="21">
        <f t="shared" si="2"/>
        <v>14.140038194568227</v>
      </c>
    </row>
    <row r="21" spans="1:9" x14ac:dyDescent="0.3">
      <c r="A21" s="24">
        <v>45473</v>
      </c>
      <c r="B21" s="25">
        <v>431.97360800000001</v>
      </c>
      <c r="C21" s="25">
        <v>21.241</v>
      </c>
      <c r="D21" s="25">
        <v>14.736000000000001</v>
      </c>
      <c r="E21" s="25">
        <v>1.883</v>
      </c>
      <c r="F21" s="19">
        <f t="shared" si="0"/>
        <v>20.336783013982394</v>
      </c>
      <c r="G21" s="20">
        <f t="shared" si="1"/>
        <v>4.6575396646770795E-3</v>
      </c>
      <c r="H21" s="20" cm="1">
        <f t="array" ref="H21">PRODUCT(G21:G56+1)^(1/3)-1</f>
        <v>0.17891294810994229</v>
      </c>
      <c r="I21" s="21">
        <f t="shared" si="2"/>
        <v>14.059577543434445</v>
      </c>
    </row>
    <row r="22" spans="1:9" x14ac:dyDescent="0.3">
      <c r="A22" s="24">
        <v>45443</v>
      </c>
      <c r="B22" s="25">
        <v>422.56224500000002</v>
      </c>
      <c r="C22" s="25">
        <v>20.875</v>
      </c>
      <c r="D22" s="25">
        <v>14.516</v>
      </c>
      <c r="E22" s="25">
        <v>1.9359999999999999</v>
      </c>
      <c r="F22" s="19">
        <f t="shared" si="0"/>
        <v>20.242502754491017</v>
      </c>
      <c r="G22" s="20">
        <f t="shared" si="1"/>
        <v>2.2867101688098801E-2</v>
      </c>
      <c r="H22" s="20" cm="1">
        <f t="array" ref="H22">PRODUCT(G22:G57+1)^(1/3)-1</f>
        <v>0.18223675883403478</v>
      </c>
      <c r="I22" s="21">
        <f t="shared" si="2"/>
        <v>13.982095554557301</v>
      </c>
    </row>
    <row r="23" spans="1:9" x14ac:dyDescent="0.3">
      <c r="A23" s="24">
        <v>45412</v>
      </c>
      <c r="B23" s="25">
        <v>406.07026400000001</v>
      </c>
      <c r="C23" s="25">
        <v>20.518999999999998</v>
      </c>
      <c r="D23" s="25">
        <v>14.528</v>
      </c>
      <c r="E23" s="25">
        <v>1.9770000000000001</v>
      </c>
      <c r="F23" s="19">
        <f t="shared" si="0"/>
        <v>19.789963643452413</v>
      </c>
      <c r="G23" s="20">
        <f t="shared" si="1"/>
        <v>-5.1406878250473964E-3</v>
      </c>
      <c r="H23" s="20" cm="1">
        <f t="array" ref="H23">PRODUCT(G23:G58+1)^(1/3)-1</f>
        <v>0.17941576407825433</v>
      </c>
      <c r="I23" s="21">
        <f t="shared" si="2"/>
        <v>13.905137325902761</v>
      </c>
    </row>
    <row r="24" spans="1:9" x14ac:dyDescent="0.3">
      <c r="A24" s="24">
        <v>45382</v>
      </c>
      <c r="B24" s="25">
        <v>419.92483499999997</v>
      </c>
      <c r="C24" s="25">
        <v>21.11</v>
      </c>
      <c r="D24" s="25">
        <v>14.532</v>
      </c>
      <c r="E24" s="25">
        <v>1.919</v>
      </c>
      <c r="F24" s="19">
        <f t="shared" si="0"/>
        <v>19.892223353860729</v>
      </c>
      <c r="G24" s="20">
        <f t="shared" si="1"/>
        <v>1.5224796869441226E-2</v>
      </c>
      <c r="H24" s="20" cm="1">
        <f t="array" ref="H24">PRODUCT(G24:G59+1)^(1/3)-1</f>
        <v>0.18658406381312775</v>
      </c>
      <c r="I24" s="21">
        <f t="shared" si="2"/>
        <v>13.831417986792633</v>
      </c>
    </row>
    <row r="25" spans="1:9" x14ac:dyDescent="0.3">
      <c r="A25" s="24">
        <v>45351</v>
      </c>
      <c r="B25" s="25">
        <v>407.14185700000002</v>
      </c>
      <c r="C25" s="25">
        <v>20.779</v>
      </c>
      <c r="D25" s="25">
        <v>14.335000000000001</v>
      </c>
      <c r="E25" s="25">
        <v>1.958</v>
      </c>
      <c r="F25" s="19">
        <f t="shared" si="0"/>
        <v>19.593910053419318</v>
      </c>
      <c r="G25" s="20">
        <f t="shared" si="1"/>
        <v>1.320041211199463E-2</v>
      </c>
      <c r="H25" s="20" cm="1">
        <f t="array" ref="H25">PRODUCT(G25:G60+1)^(1/3)-1</f>
        <v>0.11292136006884279</v>
      </c>
      <c r="I25" s="21">
        <f t="shared" si="2"/>
        <v>13.756546771472948</v>
      </c>
    </row>
    <row r="26" spans="1:9" x14ac:dyDescent="0.3">
      <c r="A26" s="24">
        <v>45322</v>
      </c>
      <c r="B26" s="25">
        <v>390.38896699999998</v>
      </c>
      <c r="C26" s="25">
        <v>20.187000000000001</v>
      </c>
      <c r="D26" s="25">
        <v>14.177</v>
      </c>
      <c r="E26" s="25">
        <v>2.0070000000000001</v>
      </c>
      <c r="F26" s="19">
        <f t="shared" si="0"/>
        <v>19.338632139495711</v>
      </c>
      <c r="G26" s="20">
        <f t="shared" si="1"/>
        <v>-1.3022248565307648E-2</v>
      </c>
      <c r="H26" s="20" cm="1">
        <f t="array" ref="H26">PRODUCT(G26:G61+1)^(1/3)-1</f>
        <v>0.11655734152432817</v>
      </c>
      <c r="I26" s="21">
        <f t="shared" si="2"/>
        <v>13.682320642398114</v>
      </c>
    </row>
    <row r="27" spans="1:9" x14ac:dyDescent="0.3">
      <c r="A27" s="24">
        <v>45291</v>
      </c>
      <c r="B27" s="25">
        <v>388.11373900000001</v>
      </c>
      <c r="C27" s="25">
        <v>19.808</v>
      </c>
      <c r="D27" s="25">
        <v>14.246</v>
      </c>
      <c r="E27" s="25">
        <v>2.0310000000000001</v>
      </c>
      <c r="F27" s="19">
        <f t="shared" si="0"/>
        <v>19.593787308158319</v>
      </c>
      <c r="G27" s="20">
        <f t="shared" si="1"/>
        <v>1.6076554099963669E-2</v>
      </c>
      <c r="H27" s="20" cm="1">
        <f t="array" ref="H27">PRODUCT(G27:G62+1)^(1/3)-1</f>
        <v>0.1197438309048271</v>
      </c>
      <c r="I27" s="21">
        <f t="shared" si="2"/>
        <v>13.608928810623361</v>
      </c>
    </row>
    <row r="28" spans="1:9" x14ac:dyDescent="0.3">
      <c r="A28" s="24">
        <v>45260</v>
      </c>
      <c r="B28" s="25">
        <v>370.32553300000001</v>
      </c>
      <c r="C28" s="25">
        <v>19.204000000000001</v>
      </c>
      <c r="D28" s="25">
        <v>14.201000000000001</v>
      </c>
      <c r="E28" s="25">
        <v>2.093</v>
      </c>
      <c r="F28" s="19">
        <f t="shared" si="0"/>
        <v>19.283770724848988</v>
      </c>
      <c r="G28" s="20">
        <f t="shared" si="1"/>
        <v>2.3529666518223191E-2</v>
      </c>
      <c r="H28" s="20" cm="1">
        <f t="array" ref="H28">PRODUCT(G28:G63+1)^(1/3)-1</f>
        <v>0.13078452170977761</v>
      </c>
      <c r="I28" s="21">
        <f t="shared" si="2"/>
        <v>13.534009974261247</v>
      </c>
    </row>
    <row r="29" spans="1:9" x14ac:dyDescent="0.3">
      <c r="A29" s="24">
        <v>45230</v>
      </c>
      <c r="B29" s="25">
        <v>339.03409499999998</v>
      </c>
      <c r="C29" s="25">
        <v>17.995000000000001</v>
      </c>
      <c r="D29" s="25">
        <v>14.345000000000001</v>
      </c>
      <c r="E29" s="25">
        <v>2.2349999999999999</v>
      </c>
      <c r="F29" s="19">
        <f t="shared" si="0"/>
        <v>18.84046096137816</v>
      </c>
      <c r="G29" s="20">
        <f t="shared" si="1"/>
        <v>7.932751684216921E-3</v>
      </c>
      <c r="H29" s="20" cm="1">
        <f t="array" ref="H29">PRODUCT(G29:G64+1)^(1/3)-1</f>
        <v>0.16638032413563852</v>
      </c>
      <c r="I29" s="21">
        <f t="shared" si="2"/>
        <v>13.461766487730729</v>
      </c>
    </row>
    <row r="30" spans="1:9" x14ac:dyDescent="0.3">
      <c r="A30" s="24">
        <v>45199</v>
      </c>
      <c r="B30" s="25">
        <v>349.54377599999998</v>
      </c>
      <c r="C30" s="25">
        <v>18.7</v>
      </c>
      <c r="D30" s="25">
        <v>14.199</v>
      </c>
      <c r="E30" s="25">
        <v>2.1659999999999999</v>
      </c>
      <c r="F30" s="19">
        <f t="shared" si="0"/>
        <v>18.692180534759359</v>
      </c>
      <c r="G30" s="20">
        <f t="shared" si="1"/>
        <v>-7.1060422278963475E-3</v>
      </c>
      <c r="H30" s="20" cm="1">
        <f t="array" ref="H30">PRODUCT(G30:G65+1)^(1/3)-1</f>
        <v>0.10984653107172471</v>
      </c>
      <c r="I30" s="21">
        <f t="shared" si="2"/>
        <v>13.398285554924449</v>
      </c>
    </row>
    <row r="31" spans="1:9" x14ac:dyDescent="0.3">
      <c r="A31" s="24">
        <v>45169</v>
      </c>
      <c r="B31" s="25">
        <v>364.62116600000002</v>
      </c>
      <c r="C31" s="25">
        <v>19.367999999999999</v>
      </c>
      <c r="D31" s="25">
        <v>14.151999999999999</v>
      </c>
      <c r="E31" s="25">
        <v>2.0920000000000001</v>
      </c>
      <c r="F31" s="19">
        <f t="shared" si="0"/>
        <v>18.825958591491123</v>
      </c>
      <c r="G31" s="20">
        <f t="shared" si="1"/>
        <v>-8.6212422230118602E-3</v>
      </c>
      <c r="H31" s="20" cm="1">
        <f t="array" ref="H31">PRODUCT(G31:G66+1)^(1/3)-1</f>
        <v>0.10040033867341802</v>
      </c>
      <c r="I31" s="21">
        <f t="shared" si="2"/>
        <v>13.332426911037356</v>
      </c>
    </row>
    <row r="32" spans="1:9" x14ac:dyDescent="0.3">
      <c r="A32" s="24">
        <v>45138</v>
      </c>
      <c r="B32" s="25">
        <v>375.10301399999997</v>
      </c>
      <c r="C32" s="25">
        <v>19.753</v>
      </c>
      <c r="D32" s="25">
        <v>14.276999999999999</v>
      </c>
      <c r="E32" s="25">
        <v>2.0830000000000002</v>
      </c>
      <c r="F32" s="19">
        <f t="shared" si="0"/>
        <v>18.989673163570089</v>
      </c>
      <c r="G32" s="20">
        <f t="shared" si="1"/>
        <v>1.1365791769461175E-2</v>
      </c>
      <c r="H32" s="20" cm="1">
        <f t="array" ref="H32">PRODUCT(G32:G67+1)^(1/3)-1</f>
        <v>0.1256515049585103</v>
      </c>
      <c r="I32" s="21">
        <f t="shared" si="2"/>
        <v>13.261037367503636</v>
      </c>
    </row>
    <row r="33" spans="1:9" x14ac:dyDescent="0.3">
      <c r="A33" s="24">
        <v>45107</v>
      </c>
      <c r="B33" s="25">
        <v>361.856199</v>
      </c>
      <c r="C33" s="25">
        <v>19.271999999999998</v>
      </c>
      <c r="D33" s="25">
        <v>14.282</v>
      </c>
      <c r="E33" s="25">
        <v>2.133</v>
      </c>
      <c r="F33" s="19">
        <f t="shared" si="0"/>
        <v>18.776266033623912</v>
      </c>
      <c r="G33" s="20">
        <f t="shared" si="1"/>
        <v>7.4381494851571972E-4</v>
      </c>
      <c r="H33" s="20" cm="1">
        <f t="array" ref="H33">PRODUCT(G33:G68+1)^(1/3)-1</f>
        <v>0.12221421233457308</v>
      </c>
      <c r="I33" s="21">
        <f t="shared" si="2"/>
        <v>13.186995295104692</v>
      </c>
    </row>
    <row r="34" spans="1:9" x14ac:dyDescent="0.3">
      <c r="A34" s="24">
        <v>45077</v>
      </c>
      <c r="B34" s="25">
        <v>341.999393</v>
      </c>
      <c r="C34" s="25">
        <v>18.228000000000002</v>
      </c>
      <c r="D34" s="25">
        <v>14.266</v>
      </c>
      <c r="E34" s="25">
        <v>2.2440000000000002</v>
      </c>
      <c r="F34" s="19">
        <f t="shared" si="0"/>
        <v>18.762310346719332</v>
      </c>
      <c r="G34" s="20">
        <f t="shared" si="1"/>
        <v>-7.0199524491761922E-3</v>
      </c>
      <c r="H34" s="20" cm="1">
        <f t="array" ref="H34">PRODUCT(G34:G69+1)^(1/3)-1</f>
        <v>0.10631457714927706</v>
      </c>
      <c r="I34" s="21">
        <f t="shared" si="2"/>
        <v>13.114101428063741</v>
      </c>
    </row>
    <row r="35" spans="1:9" x14ac:dyDescent="0.3">
      <c r="A35" s="24">
        <v>45046</v>
      </c>
      <c r="B35" s="25">
        <v>345.70204200000001</v>
      </c>
      <c r="C35" s="25">
        <v>18.295999999999999</v>
      </c>
      <c r="D35" s="25">
        <v>14.398</v>
      </c>
      <c r="E35" s="25">
        <v>2.214</v>
      </c>
      <c r="F35" s="19">
        <f t="shared" si="0"/>
        <v>18.894952011368606</v>
      </c>
      <c r="G35" s="20">
        <f t="shared" si="1"/>
        <v>1.1772943883849862E-3</v>
      </c>
      <c r="H35" s="20" cm="1">
        <f t="array" ref="H35">PRODUCT(G35:G70+1)^(1/3)-1</f>
        <v>9.0877478601643746E-2</v>
      </c>
      <c r="I35" s="21">
        <f t="shared" si="2"/>
        <v>13.041965594795789</v>
      </c>
    </row>
    <row r="36" spans="1:9" x14ac:dyDescent="0.3">
      <c r="A36" s="24">
        <v>45016</v>
      </c>
      <c r="B36" s="25">
        <v>340.80381699999998</v>
      </c>
      <c r="C36" s="25">
        <v>18.058</v>
      </c>
      <c r="D36" s="25">
        <v>14.43</v>
      </c>
      <c r="E36" s="25">
        <v>2.2410000000000001</v>
      </c>
      <c r="F36" s="19">
        <f t="shared" si="0"/>
        <v>18.872733248421753</v>
      </c>
      <c r="G36" s="20">
        <f t="shared" si="1"/>
        <v>-1.5691318092720175E-2</v>
      </c>
      <c r="H36" s="20" cm="1">
        <f t="array" ref="H36">PRODUCT(G36:G71+1)^(1/3)-1</f>
        <v>9.0351615864695756E-2</v>
      </c>
      <c r="I36" s="21">
        <f t="shared" si="2"/>
        <v>12.969451463181459</v>
      </c>
    </row>
    <row r="37" spans="1:9" x14ac:dyDescent="0.3">
      <c r="A37" s="24">
        <v>44985</v>
      </c>
      <c r="B37" s="25">
        <v>330.61025000000001</v>
      </c>
      <c r="C37" s="25">
        <v>17.242999999999999</v>
      </c>
      <c r="D37" s="25">
        <v>14.85</v>
      </c>
      <c r="E37" s="25">
        <v>2.2730000000000001</v>
      </c>
      <c r="F37" s="19">
        <f t="shared" si="0"/>
        <v>19.173592182334861</v>
      </c>
      <c r="G37" s="20">
        <f t="shared" si="1"/>
        <v>-2.1731114134810325E-2</v>
      </c>
      <c r="H37" s="20" cm="1">
        <f t="array" ref="H37">PRODUCT(G37:G72+1)^(1/3)-1</f>
        <v>0.1269161315613625</v>
      </c>
      <c r="I37" s="21">
        <f t="shared" si="2"/>
        <v>12.899913698740928</v>
      </c>
    </row>
    <row r="38" spans="1:9" x14ac:dyDescent="0.3">
      <c r="A38" s="24">
        <v>44957</v>
      </c>
      <c r="B38" s="25">
        <v>340.365115</v>
      </c>
      <c r="C38" s="25">
        <v>17.366</v>
      </c>
      <c r="D38" s="25">
        <v>15.002000000000001</v>
      </c>
      <c r="E38" s="25">
        <v>2.2120000000000002</v>
      </c>
      <c r="F38" s="19">
        <f t="shared" si="0"/>
        <v>19.599511401589314</v>
      </c>
      <c r="G38" s="20">
        <f t="shared" si="1"/>
        <v>7.312068304822672E-3</v>
      </c>
      <c r="H38" s="20" cm="1">
        <f t="array" ref="H38">PRODUCT(G38:G73+1)^(1/3)-1</f>
        <v>0.10377430362170492</v>
      </c>
      <c r="I38" s="21">
        <f t="shared" si="2"/>
        <v>12.826293440658521</v>
      </c>
    </row>
    <row r="39" spans="1:9" x14ac:dyDescent="0.3">
      <c r="A39" s="24">
        <v>44926</v>
      </c>
      <c r="B39" s="25">
        <v>317.60050799999999</v>
      </c>
      <c r="C39" s="25">
        <v>16.323</v>
      </c>
      <c r="D39" s="25">
        <v>15.15</v>
      </c>
      <c r="E39" s="25">
        <v>2.339</v>
      </c>
      <c r="F39" s="19">
        <f t="shared" si="0"/>
        <v>19.457238742878147</v>
      </c>
      <c r="G39" s="20">
        <f t="shared" si="1"/>
        <v>9.6143049090540167E-3</v>
      </c>
      <c r="H39" s="20" cm="1">
        <f t="array" ref="H39">PRODUCT(G39:G74+1)^(1/3)-1</f>
        <v>7.4819382444055504E-2</v>
      </c>
      <c r="I39" s="21">
        <f t="shared" si="2"/>
        <v>12.748115330879305</v>
      </c>
    </row>
    <row r="40" spans="1:9" x14ac:dyDescent="0.3">
      <c r="A40" s="24">
        <v>44895</v>
      </c>
      <c r="B40" s="25">
        <v>330.610342</v>
      </c>
      <c r="C40" s="25">
        <v>17.155000000000001</v>
      </c>
      <c r="D40" s="25">
        <v>15.304</v>
      </c>
      <c r="E40" s="25">
        <v>2.2189999999999999</v>
      </c>
      <c r="F40" s="19">
        <f t="shared" si="0"/>
        <v>19.271952317108713</v>
      </c>
      <c r="G40" s="20">
        <f t="shared" si="1"/>
        <v>3.3091525783719211E-2</v>
      </c>
      <c r="H40" s="20" cm="1">
        <f t="array" ref="H40">PRODUCT(G40:G75+1)^(1/3)-1</f>
        <v>8.3828433588800655E-2</v>
      </c>
      <c r="I40" s="21">
        <f t="shared" si="2"/>
        <v>12.670848750392839</v>
      </c>
    </row>
    <row r="41" spans="1:9" x14ac:dyDescent="0.3">
      <c r="A41" s="24">
        <v>44865</v>
      </c>
      <c r="B41" s="25">
        <v>306.81289299999997</v>
      </c>
      <c r="C41" s="25">
        <v>16.446999999999999</v>
      </c>
      <c r="D41" s="25">
        <v>15.375999999999999</v>
      </c>
      <c r="E41" s="25">
        <v>2.3319999999999999</v>
      </c>
      <c r="F41" s="19">
        <f t="shared" si="0"/>
        <v>18.654641758375387</v>
      </c>
      <c r="G41" s="20">
        <f t="shared" si="1"/>
        <v>1.8722561503394797E-3</v>
      </c>
      <c r="H41" s="20" cm="1">
        <f t="array" ref="H41">PRODUCT(G41:G76+1)^(1/3)-1</f>
        <v>8.0784439835448696E-2</v>
      </c>
      <c r="I41" s="21">
        <f t="shared" si="2"/>
        <v>12.594062782158119</v>
      </c>
    </row>
    <row r="42" spans="1:9" x14ac:dyDescent="0.3">
      <c r="A42" s="24">
        <v>44834</v>
      </c>
      <c r="B42" s="25">
        <v>289.35139299999997</v>
      </c>
      <c r="C42" s="25">
        <v>15.54</v>
      </c>
      <c r="D42" s="25">
        <v>15.347</v>
      </c>
      <c r="E42" s="25">
        <v>2.4620000000000002</v>
      </c>
      <c r="F42" s="19">
        <f t="shared" si="0"/>
        <v>18.619780759330759</v>
      </c>
      <c r="G42" s="20">
        <f t="shared" si="1"/>
        <v>-5.7095604107542108E-3</v>
      </c>
      <c r="H42" s="20" cm="1">
        <f t="array" ref="H42">PRODUCT(G42:G77+1)^(1/3)-1</f>
        <v>8.2792464770257812E-2</v>
      </c>
      <c r="I42" s="21">
        <f t="shared" si="2"/>
        <v>12.521868061292285</v>
      </c>
    </row>
    <row r="43" spans="1:9" x14ac:dyDescent="0.3">
      <c r="A43" s="24">
        <v>44804</v>
      </c>
      <c r="B43" s="25">
        <v>319.98315700000001</v>
      </c>
      <c r="C43" s="25">
        <v>17.087</v>
      </c>
      <c r="D43" s="25">
        <v>15.153</v>
      </c>
      <c r="E43" s="25">
        <v>2.2570000000000001</v>
      </c>
      <c r="F43" s="19">
        <f t="shared" si="0"/>
        <v>18.726701995669224</v>
      </c>
      <c r="G43" s="20">
        <f t="shared" si="1"/>
        <v>-7.2209286368326575E-3</v>
      </c>
      <c r="H43" s="20" cm="1">
        <f t="array" ref="H43">PRODUCT(G43:G78+1)^(1/3)-1</f>
        <v>9.2417400359376067E-2</v>
      </c>
      <c r="I43" s="21">
        <f t="shared" si="2"/>
        <v>12.449822716932271</v>
      </c>
    </row>
    <row r="44" spans="1:9" x14ac:dyDescent="0.3">
      <c r="A44" s="24">
        <v>44773</v>
      </c>
      <c r="B44" s="25">
        <v>332.21356600000001</v>
      </c>
      <c r="C44" s="25">
        <v>17.611999999999998</v>
      </c>
      <c r="D44" s="25">
        <v>15.202</v>
      </c>
      <c r="E44" s="25">
        <v>2.1749999999999998</v>
      </c>
      <c r="F44" s="19">
        <f t="shared" si="0"/>
        <v>18.862909720645018</v>
      </c>
      <c r="G44" s="20">
        <f t="shared" si="1"/>
        <v>-9.9250334465418311E-3</v>
      </c>
      <c r="H44" s="20" cm="1">
        <f t="array" ref="H44">PRODUCT(G44:G79+1)^(1/3)-1</f>
        <v>8.6331054070910795E-2</v>
      </c>
      <c r="I44" s="21">
        <f t="shared" si="2"/>
        <v>12.376325278755441</v>
      </c>
    </row>
    <row r="45" spans="1:9" x14ac:dyDescent="0.3">
      <c r="A45" s="24">
        <v>44742</v>
      </c>
      <c r="B45" s="25">
        <v>310.528572</v>
      </c>
      <c r="C45" s="25">
        <v>16.298999999999999</v>
      </c>
      <c r="D45" s="25">
        <v>15.417999999999999</v>
      </c>
      <c r="E45" s="25">
        <v>2.3079999999999998</v>
      </c>
      <c r="F45" s="19">
        <f t="shared" si="0"/>
        <v>19.052001472482974</v>
      </c>
      <c r="G45" s="20">
        <f t="shared" si="1"/>
        <v>-7.4399515372338687E-3</v>
      </c>
      <c r="H45" s="20" cm="1">
        <f t="array" ref="H45">PRODUCT(G45:G80+1)^(1/3)-1</f>
        <v>8.8454005878812358E-2</v>
      </c>
      <c r="I45" s="21">
        <f t="shared" si="2"/>
        <v>12.30267027234575</v>
      </c>
    </row>
    <row r="46" spans="1:9" x14ac:dyDescent="0.3">
      <c r="A46" s="24">
        <v>44712</v>
      </c>
      <c r="B46" s="25">
        <v>339.11470700000001</v>
      </c>
      <c r="C46" s="25">
        <v>17.667000000000002</v>
      </c>
      <c r="D46" s="25">
        <v>15.241</v>
      </c>
      <c r="E46" s="25">
        <v>2.1110000000000002</v>
      </c>
      <c r="F46" s="19">
        <f t="shared" si="0"/>
        <v>19.194809928114562</v>
      </c>
      <c r="G46" s="20">
        <f t="shared" si="1"/>
        <v>2.5141225457999683E-2</v>
      </c>
      <c r="H46" s="20" cm="1">
        <f t="array" ref="H46">PRODUCT(G46:G81+1)^(1/3)-1</f>
        <v>9.7385530523628194E-2</v>
      </c>
      <c r="I46" s="21">
        <f t="shared" si="2"/>
        <v>12.227451223669288</v>
      </c>
    </row>
    <row r="47" spans="1:9" x14ac:dyDescent="0.3">
      <c r="A47" s="24">
        <v>44681</v>
      </c>
      <c r="B47" s="25">
        <v>338.71831800000001</v>
      </c>
      <c r="C47" s="25">
        <v>18.09</v>
      </c>
      <c r="D47" s="25">
        <v>15.205</v>
      </c>
      <c r="E47" s="25">
        <v>2.0550000000000002</v>
      </c>
      <c r="F47" s="19">
        <f t="shared" si="0"/>
        <v>18.724064013267</v>
      </c>
      <c r="G47" s="20">
        <f t="shared" si="1"/>
        <v>-2.6034339759881897E-2</v>
      </c>
      <c r="H47" s="20" cm="1">
        <f t="array" ref="H47">PRODUCT(G47:G82+1)^(1/3)-1</f>
        <v>7.3506305400422356E-2</v>
      </c>
      <c r="I47" s="21">
        <f t="shared" si="2"/>
        <v>12.149355660535308</v>
      </c>
    </row>
    <row r="48" spans="1:9" x14ac:dyDescent="0.3">
      <c r="A48" s="24">
        <v>44651</v>
      </c>
      <c r="B48" s="25">
        <v>368.188827</v>
      </c>
      <c r="C48" s="25">
        <v>19.152000000000001</v>
      </c>
      <c r="D48" s="25">
        <v>15.249000000000001</v>
      </c>
      <c r="E48" s="25">
        <v>1.915</v>
      </c>
      <c r="F48" s="19">
        <f t="shared" si="0"/>
        <v>19.224562813283207</v>
      </c>
      <c r="G48" s="20">
        <f t="shared" si="1"/>
        <v>1.5310987860533531E-2</v>
      </c>
      <c r="H48" s="20" cm="1">
        <f t="array" ref="H48">PRODUCT(G48:G83+1)^(1/3)-1</f>
        <v>9.5041925920119619E-2</v>
      </c>
      <c r="I48" s="21">
        <f t="shared" si="2"/>
        <v>12.075727123522588</v>
      </c>
    </row>
    <row r="49" spans="1:9" x14ac:dyDescent="0.3">
      <c r="A49" s="24">
        <v>44620</v>
      </c>
      <c r="B49" s="25">
        <v>360.38328000000001</v>
      </c>
      <c r="C49" s="25">
        <v>19.033000000000001</v>
      </c>
      <c r="D49" s="25">
        <v>14.909000000000001</v>
      </c>
      <c r="E49" s="25">
        <v>1.946</v>
      </c>
      <c r="F49" s="19">
        <f t="shared" si="0"/>
        <v>18.934654547365103</v>
      </c>
      <c r="G49" s="20">
        <f t="shared" si="1"/>
        <v>0.15362159318917534</v>
      </c>
      <c r="H49" s="20" cm="1">
        <f t="array" ref="H49">PRODUCT(G49:G84+1)^(1/3)-1</f>
        <v>8.9557029349913941E-2</v>
      </c>
      <c r="I49" s="21">
        <f t="shared" si="2"/>
        <v>11.997952773431864</v>
      </c>
    </row>
    <row r="50" spans="1:9" x14ac:dyDescent="0.3">
      <c r="A50" s="24">
        <v>44592</v>
      </c>
      <c r="B50" s="25">
        <v>369.93775199999999</v>
      </c>
      <c r="C50" s="25">
        <v>22.539000000000001</v>
      </c>
      <c r="D50" s="25">
        <v>13.638999999999999</v>
      </c>
      <c r="E50" s="25">
        <v>1.708</v>
      </c>
      <c r="F50" s="19">
        <f t="shared" si="0"/>
        <v>16.413228270996939</v>
      </c>
      <c r="G50" s="20">
        <f t="shared" si="1"/>
        <v>-4.9112401411385398E-2</v>
      </c>
      <c r="H50" s="20" cm="1">
        <f t="array" ref="H50">PRODUCT(G50:G85+1)^(1/3)-1</f>
        <v>3.9180380078063237E-2</v>
      </c>
      <c r="I50" s="21">
        <f t="shared" si="2"/>
        <v>11.923218068899921</v>
      </c>
    </row>
    <row r="51" spans="1:9" x14ac:dyDescent="0.3">
      <c r="A51" s="24">
        <v>44561</v>
      </c>
      <c r="B51" s="25">
        <v>389.04467</v>
      </c>
      <c r="C51" s="25">
        <v>22.539000000000001</v>
      </c>
      <c r="D51" s="25">
        <v>13.638999999999999</v>
      </c>
      <c r="E51" s="25">
        <v>1.708</v>
      </c>
      <c r="F51" s="19">
        <f t="shared" si="0"/>
        <v>17.260955233151424</v>
      </c>
      <c r="G51" s="20">
        <f t="shared" si="1"/>
        <v>3.9999962361135788E-2</v>
      </c>
      <c r="H51" s="20" cm="1">
        <f t="array" ref="H51">PRODUCT(G51:G86+1)^(1/3)-1</f>
        <v>6.1690736824599801E-2</v>
      </c>
      <c r="I51" s="21">
        <f t="shared" si="2"/>
        <v>11.86985376445069</v>
      </c>
    </row>
    <row r="52" spans="1:9" x14ac:dyDescent="0.3">
      <c r="A52" s="24">
        <v>44530</v>
      </c>
      <c r="B52" s="25">
        <v>374.08142700000002</v>
      </c>
      <c r="C52" s="25">
        <v>22.539000000000001</v>
      </c>
      <c r="D52" s="25">
        <v>13.638999999999999</v>
      </c>
      <c r="E52" s="25">
        <v>1.708</v>
      </c>
      <c r="F52" s="19">
        <f t="shared" si="0"/>
        <v>16.597072940236924</v>
      </c>
      <c r="G52" s="20">
        <f t="shared" si="1"/>
        <v>-2.4079952654492254E-2</v>
      </c>
      <c r="H52" s="20" cm="1">
        <f t="array" ref="H52">PRODUCT(G52:G87+1)^(1/3)-1</f>
        <v>5.0801579399517793E-2</v>
      </c>
      <c r="I52" s="21">
        <f t="shared" si="2"/>
        <v>11.808569963231637</v>
      </c>
    </row>
    <row r="53" spans="1:9" x14ac:dyDescent="0.3">
      <c r="A53" s="24">
        <v>44500</v>
      </c>
      <c r="B53" s="25">
        <v>383.31155100000001</v>
      </c>
      <c r="C53" s="25">
        <v>22.539000000000001</v>
      </c>
      <c r="D53" s="25">
        <v>13.638999999999999</v>
      </c>
      <c r="E53" s="25">
        <v>1.708</v>
      </c>
      <c r="F53" s="19">
        <f t="shared" si="0"/>
        <v>17.006590842539598</v>
      </c>
      <c r="G53" s="20">
        <f t="shared" si="1"/>
        <v>5.1043521504012368E-2</v>
      </c>
      <c r="H53" s="20" cm="1">
        <f t="array" ref="H53">PRODUCT(G53:G88+1)^(1/3)-1</f>
        <v>7.0698007372696159E-2</v>
      </c>
      <c r="I53" s="21">
        <f t="shared" si="2"/>
        <v>11.754237219707322</v>
      </c>
    </row>
    <row r="54" spans="1:9" x14ac:dyDescent="0.3">
      <c r="A54" s="24">
        <v>44469</v>
      </c>
      <c r="B54" s="25">
        <v>364.69617399999998</v>
      </c>
      <c r="C54" s="25">
        <v>22.539000000000001</v>
      </c>
      <c r="D54" s="25">
        <v>13.638999999999999</v>
      </c>
      <c r="E54" s="25">
        <v>1.708</v>
      </c>
      <c r="F54" s="19">
        <f t="shared" si="0"/>
        <v>16.180672345711876</v>
      </c>
      <c r="G54" s="20">
        <f t="shared" si="1"/>
        <v>-4.130975212032062E-2</v>
      </c>
      <c r="H54" s="20" cm="1">
        <f t="array" ref="H54">PRODUCT(G54:G89+1)^(1/3)-1</f>
        <v>5.2821290548090261E-2</v>
      </c>
      <c r="I54" s="21">
        <f t="shared" si="2"/>
        <v>11.697047753882199</v>
      </c>
    </row>
    <row r="55" spans="1:9" x14ac:dyDescent="0.3">
      <c r="A55" s="24">
        <v>44439</v>
      </c>
      <c r="B55" s="25">
        <v>380.41085199999998</v>
      </c>
      <c r="C55" s="25">
        <v>22.539000000000001</v>
      </c>
      <c r="D55" s="25">
        <v>13.638999999999999</v>
      </c>
      <c r="E55" s="25">
        <v>1.708</v>
      </c>
      <c r="F55" s="19">
        <f t="shared" si="0"/>
        <v>16.877893961577708</v>
      </c>
      <c r="G55" s="20">
        <f t="shared" si="1"/>
        <v>0.14813834940742421</v>
      </c>
      <c r="H55" s="20" cm="1">
        <f t="array" ref="H55">PRODUCT(G55:G90+1)^(1/3)-1</f>
        <v>7.2708499390416348E-2</v>
      </c>
      <c r="I55" s="21">
        <f t="shared" si="2"/>
        <v>11.644996863972773</v>
      </c>
    </row>
    <row r="56" spans="1:9" x14ac:dyDescent="0.3">
      <c r="A56" s="24">
        <v>44408</v>
      </c>
      <c r="B56" s="25">
        <v>371.12192199999998</v>
      </c>
      <c r="C56" s="25">
        <v>25.245999999999999</v>
      </c>
      <c r="D56" s="25">
        <v>12.058</v>
      </c>
      <c r="E56" s="25">
        <v>1.696</v>
      </c>
      <c r="F56" s="19">
        <f t="shared" si="0"/>
        <v>14.7002266497663</v>
      </c>
      <c r="G56" s="20">
        <f t="shared" si="1"/>
        <v>0.18436888342281654</v>
      </c>
      <c r="H56" s="20" cm="1">
        <f t="array" ref="H56">PRODUCT(G56:G91+1)^(1/3)-1</f>
        <v>3.3816100957845929E-2</v>
      </c>
      <c r="I56" s="21">
        <f t="shared" si="2"/>
        <v>11.589177645656962</v>
      </c>
    </row>
    <row r="57" spans="1:9" x14ac:dyDescent="0.3">
      <c r="A57" s="24">
        <v>44377</v>
      </c>
      <c r="B57" s="25">
        <v>368.582742</v>
      </c>
      <c r="C57" s="25">
        <v>29.696000000000002</v>
      </c>
      <c r="D57" s="25">
        <v>10.087999999999999</v>
      </c>
      <c r="E57" s="25">
        <v>1.696</v>
      </c>
      <c r="F57" s="19">
        <f t="shared" si="0"/>
        <v>12.411864964978447</v>
      </c>
      <c r="G57" s="20">
        <f t="shared" si="1"/>
        <v>1.3179072428182836E-2</v>
      </c>
      <c r="H57" s="20" cm="1">
        <f t="array" ref="H57">PRODUCT(G57:G92+1)^(1/3)-1</f>
        <v>-2.1634250183657722E-2</v>
      </c>
      <c r="I57" s="21">
        <f t="shared" si="2"/>
        <v>11.5497520099709</v>
      </c>
    </row>
    <row r="58" spans="1:9" x14ac:dyDescent="0.3">
      <c r="A58" s="24">
        <v>44347</v>
      </c>
      <c r="B58" s="25">
        <v>363.78834899999998</v>
      </c>
      <c r="C58" s="25">
        <v>29.696000000000002</v>
      </c>
      <c r="D58" s="25">
        <v>10.087999999999999</v>
      </c>
      <c r="E58" s="25">
        <v>1.696</v>
      </c>
      <c r="F58" s="19">
        <f t="shared" si="0"/>
        <v>12.250415847252153</v>
      </c>
      <c r="G58" s="20">
        <f t="shared" si="1"/>
        <v>1.5562415191855195E-2</v>
      </c>
      <c r="H58" s="20" cm="1">
        <f t="array" ref="H58">PRODUCT(G58:G93+1)^(1/3)-1</f>
        <v>-2.7025921197117331E-2</v>
      </c>
      <c r="I58" s="21">
        <f t="shared" si="2"/>
        <v>11.530307983587882</v>
      </c>
    </row>
    <row r="59" spans="1:9" x14ac:dyDescent="0.3">
      <c r="A59" s="24">
        <v>44316</v>
      </c>
      <c r="B59" s="25">
        <v>358.21367900000001</v>
      </c>
      <c r="C59" s="25">
        <v>29.696000000000002</v>
      </c>
      <c r="D59" s="25">
        <v>10.087999999999999</v>
      </c>
      <c r="E59" s="25">
        <v>1.696</v>
      </c>
      <c r="F59" s="19">
        <f t="shared" si="0"/>
        <v>12.062691237877155</v>
      </c>
      <c r="G59" s="20">
        <f t="shared" si="1"/>
        <v>1.3109571959947663E-2</v>
      </c>
      <c r="H59" s="20" cm="1">
        <f t="array" ref="H59">PRODUCT(G59:G94+1)^(1/3)-1</f>
        <v>-2.5061093610625473E-2</v>
      </c>
      <c r="I59" s="21">
        <f t="shared" si="2"/>
        <v>11.511079366937432</v>
      </c>
    </row>
    <row r="60" spans="1:9" x14ac:dyDescent="0.3">
      <c r="A60" s="24">
        <v>44286</v>
      </c>
      <c r="B60" s="25">
        <v>343.20776799999999</v>
      </c>
      <c r="C60" s="25">
        <v>28.824999999999999</v>
      </c>
      <c r="D60" s="25">
        <v>10.118</v>
      </c>
      <c r="E60" s="25">
        <v>1.738</v>
      </c>
      <c r="F60" s="19">
        <f t="shared" si="0"/>
        <v>11.906600797918474</v>
      </c>
      <c r="G60" s="20">
        <f t="shared" si="1"/>
        <v>-0.16235477659801389</v>
      </c>
      <c r="H60" s="20" cm="1">
        <f t="array" ref="H60">PRODUCT(G60:G95+1)^(1/3)-1</f>
        <v>1.3412739787568295E-2</v>
      </c>
      <c r="I60" s="21">
        <f t="shared" si="2"/>
        <v>11.491543380817442</v>
      </c>
    </row>
    <row r="61" spans="1:9" x14ac:dyDescent="0.3">
      <c r="A61" s="24">
        <v>44255</v>
      </c>
      <c r="B61" s="25">
        <v>334.27938599999999</v>
      </c>
      <c r="C61" s="25">
        <v>23.516999999999999</v>
      </c>
      <c r="D61" s="25">
        <v>10.252000000000001</v>
      </c>
      <c r="E61" s="25">
        <v>2.0880000000000001</v>
      </c>
      <c r="F61" s="19">
        <f t="shared" si="0"/>
        <v>14.214371986222732</v>
      </c>
      <c r="G61" s="20">
        <f t="shared" si="1"/>
        <v>2.316345243395479E-2</v>
      </c>
      <c r="H61" s="20" cm="1">
        <f t="array" ref="H61">PRODUCT(G61:G96+1)^(1/3)-1</f>
        <v>6.7334121887682619E-2</v>
      </c>
      <c r="I61" s="21">
        <f t="shared" si="2"/>
        <v>11.470770121662147</v>
      </c>
    </row>
    <row r="62" spans="1:9" x14ac:dyDescent="0.3">
      <c r="A62" s="24">
        <v>44227</v>
      </c>
      <c r="B62" s="25">
        <v>326.71161699999999</v>
      </c>
      <c r="C62" s="25">
        <v>23.516999999999999</v>
      </c>
      <c r="D62" s="25">
        <v>10.252000000000001</v>
      </c>
      <c r="E62" s="25">
        <v>2.0880000000000001</v>
      </c>
      <c r="F62" s="19">
        <f t="shared" si="0"/>
        <v>13.892572054258622</v>
      </c>
      <c r="G62" s="20">
        <f t="shared" si="1"/>
        <v>-4.5480451574210212E-3</v>
      </c>
      <c r="H62" s="20" cm="1">
        <f t="array" ref="H62">PRODUCT(G62:G97+1)^(1/3)-1</f>
        <v>4.4177070051040657E-2</v>
      </c>
      <c r="I62" s="21">
        <f t="shared" si="2"/>
        <v>11.42510618005692</v>
      </c>
    </row>
    <row r="63" spans="1:9" x14ac:dyDescent="0.3">
      <c r="A63" s="24">
        <v>44196</v>
      </c>
      <c r="B63" s="25">
        <v>328.20430499999998</v>
      </c>
      <c r="C63" s="25">
        <v>23.516999999999999</v>
      </c>
      <c r="D63" s="25">
        <v>10.252000000000001</v>
      </c>
      <c r="E63" s="25">
        <v>2.0880000000000001</v>
      </c>
      <c r="F63" s="19">
        <f t="shared" si="0"/>
        <v>13.956044776119402</v>
      </c>
      <c r="G63" s="20">
        <f t="shared" si="1"/>
        <v>4.6429466409179554E-2</v>
      </c>
      <c r="H63" s="20" cm="1">
        <f t="array" ref="H63">PRODUCT(G63:G98+1)^(1/3)-1</f>
        <v>5.2292573886383753E-2</v>
      </c>
      <c r="I63" s="21">
        <f t="shared" si="2"/>
        <v>11.381239278009097</v>
      </c>
    </row>
    <row r="64" spans="1:9" x14ac:dyDescent="0.3">
      <c r="A64" s="24">
        <v>44165</v>
      </c>
      <c r="B64" s="25">
        <v>313.64207099999999</v>
      </c>
      <c r="C64" s="25">
        <v>23.516999999999999</v>
      </c>
      <c r="D64" s="25">
        <v>10.252000000000001</v>
      </c>
      <c r="E64" s="25">
        <v>2.0880000000000001</v>
      </c>
      <c r="F64" s="19">
        <f t="shared" si="0"/>
        <v>13.33682319173364</v>
      </c>
      <c r="G64" s="20">
        <f t="shared" si="1"/>
        <v>0.12326292344693912</v>
      </c>
      <c r="H64" s="20" cm="1">
        <f t="array" ref="H64">PRODUCT(G64:G99+1)^(1/3)-1</f>
        <v>3.8642849211716124E-2</v>
      </c>
      <c r="I64" s="21">
        <f t="shared" si="2"/>
        <v>11.336598930818363</v>
      </c>
    </row>
    <row r="65" spans="1:9" x14ac:dyDescent="0.3">
      <c r="A65" s="24">
        <v>44135</v>
      </c>
      <c r="B65" s="25">
        <v>279.22409299999998</v>
      </c>
      <c r="C65" s="25">
        <v>23.516999999999999</v>
      </c>
      <c r="D65" s="25">
        <v>10.252000000000001</v>
      </c>
      <c r="E65" s="25">
        <v>2.0880000000000001</v>
      </c>
      <c r="F65" s="19">
        <f t="shared" si="0"/>
        <v>11.87328711145129</v>
      </c>
      <c r="G65" s="20">
        <f t="shared" si="1"/>
        <v>-0.13164004059380219</v>
      </c>
      <c r="H65" s="20" cm="1">
        <f t="array" ref="H65">PRODUCT(G65:G100+1)^(1/3)-1</f>
        <v>7.777448238656115E-3</v>
      </c>
      <c r="I65" s="21">
        <f t="shared" si="2"/>
        <v>11.295408148499913</v>
      </c>
    </row>
    <row r="66" spans="1:9" x14ac:dyDescent="0.3">
      <c r="A66" s="24">
        <v>44104</v>
      </c>
      <c r="B66" s="25">
        <v>286.180744</v>
      </c>
      <c r="C66" s="25">
        <v>20.93</v>
      </c>
      <c r="D66" s="25">
        <v>11.541</v>
      </c>
      <c r="E66" s="25">
        <v>2.1150000000000002</v>
      </c>
      <c r="F66" s="19">
        <f t="shared" ref="F66:F129" si="3">B66/C66</f>
        <v>13.673231915910177</v>
      </c>
      <c r="G66" s="20">
        <f t="shared" ref="G66:G129" si="4">F66/F67-1</f>
        <v>-3.2243210006501988E-2</v>
      </c>
      <c r="H66" s="20" cm="1">
        <f t="array" ref="H66">PRODUCT(G66:G101+1)^(1/3)-1</f>
        <v>5.5040204313694607E-2</v>
      </c>
      <c r="I66" s="21">
        <f t="shared" ref="I66:I123" si="5">AVERAGE(F66:F185)</f>
        <v>11.263840680250123</v>
      </c>
    </row>
    <row r="67" spans="1:9" x14ac:dyDescent="0.3">
      <c r="A67" s="24">
        <v>44074</v>
      </c>
      <c r="B67" s="25">
        <v>295.71556299999997</v>
      </c>
      <c r="C67" s="25">
        <v>20.93</v>
      </c>
      <c r="D67" s="25">
        <v>11.541</v>
      </c>
      <c r="E67" s="25">
        <v>2.1150000000000002</v>
      </c>
      <c r="F67" s="19">
        <f t="shared" si="3"/>
        <v>14.128789440993788</v>
      </c>
      <c r="G67" s="20">
        <f t="shared" si="4"/>
        <v>6.1205108348847848E-2</v>
      </c>
      <c r="H67" s="20" cm="1">
        <f t="array" ref="H67">PRODUCT(G67:G102+1)^(1/3)-1</f>
        <v>7.3901985952737892E-2</v>
      </c>
      <c r="I67" s="21">
        <f t="shared" si="5"/>
        <v>11.216364261923145</v>
      </c>
    </row>
    <row r="68" spans="1:9" x14ac:dyDescent="0.3">
      <c r="A68" s="24">
        <v>44043</v>
      </c>
      <c r="B68" s="25">
        <v>278.66013900000002</v>
      </c>
      <c r="C68" s="25">
        <v>20.93</v>
      </c>
      <c r="D68" s="25">
        <v>11.541</v>
      </c>
      <c r="E68" s="25">
        <v>2.1150000000000002</v>
      </c>
      <c r="F68" s="19">
        <f t="shared" si="3"/>
        <v>13.313910129001433</v>
      </c>
      <c r="G68" s="20">
        <f t="shared" si="4"/>
        <v>2.1291260446787419E-3</v>
      </c>
      <c r="H68" s="20" cm="1">
        <f t="array" ref="H68">PRODUCT(G68:G103+1)^(1/3)-1</f>
        <v>6.506237912727264E-2</v>
      </c>
      <c r="I68" s="21">
        <f t="shared" si="5"/>
        <v>11.162155292904592</v>
      </c>
    </row>
    <row r="69" spans="1:9" x14ac:dyDescent="0.3">
      <c r="A69" s="24">
        <v>44012</v>
      </c>
      <c r="B69" s="25">
        <v>264.66290299999997</v>
      </c>
      <c r="C69" s="25">
        <v>19.920999999999999</v>
      </c>
      <c r="D69" s="25">
        <v>11.766999999999999</v>
      </c>
      <c r="E69" s="25">
        <v>2.214</v>
      </c>
      <c r="F69" s="19">
        <f t="shared" si="3"/>
        <v>13.28562336228101</v>
      </c>
      <c r="G69" s="20">
        <f t="shared" si="4"/>
        <v>-4.119227264207459E-2</v>
      </c>
      <c r="H69" s="20" cm="1">
        <f t="array" ref="H69">PRODUCT(G69:G104+1)^(1/3)-1</f>
        <v>7.0564802550762806E-2</v>
      </c>
      <c r="I69" s="21">
        <f t="shared" si="5"/>
        <v>11.111113159120604</v>
      </c>
    </row>
    <row r="70" spans="1:9" x14ac:dyDescent="0.3">
      <c r="A70" s="24">
        <v>43982</v>
      </c>
      <c r="B70" s="25">
        <v>256.46810699999997</v>
      </c>
      <c r="C70" s="25">
        <v>18.509</v>
      </c>
      <c r="D70" s="25">
        <v>12.048</v>
      </c>
      <c r="E70" s="25">
        <v>2.319</v>
      </c>
      <c r="F70" s="19">
        <f t="shared" si="3"/>
        <v>13.856399967583336</v>
      </c>
      <c r="G70" s="20">
        <f t="shared" si="4"/>
        <v>-4.8009652818401305E-2</v>
      </c>
      <c r="H70" s="20" cm="1">
        <f t="array" ref="H70">PRODUCT(G70:G105+1)^(1/3)-1</f>
        <v>9.2283799365498353E-2</v>
      </c>
      <c r="I70" s="21">
        <f t="shared" si="5"/>
        <v>11.058693315774272</v>
      </c>
    </row>
    <row r="71" spans="1:9" x14ac:dyDescent="0.3">
      <c r="A71" s="24">
        <v>43951</v>
      </c>
      <c r="B71" s="25">
        <v>245.778931</v>
      </c>
      <c r="C71" s="25">
        <v>16.885999999999999</v>
      </c>
      <c r="D71" s="25">
        <v>12.555</v>
      </c>
      <c r="E71" s="25">
        <v>2.423</v>
      </c>
      <c r="F71" s="19">
        <f t="shared" si="3"/>
        <v>14.555189565320385</v>
      </c>
      <c r="G71" s="20">
        <f t="shared" si="4"/>
        <v>-2.6987476727236004E-4</v>
      </c>
      <c r="H71" s="20" cm="1">
        <f t="array" ref="H71">PRODUCT(G71:G106+1)^(1/3)-1</f>
        <v>0.12835486687840603</v>
      </c>
      <c r="I71" s="21">
        <f t="shared" si="5"/>
        <v>10.998548064005719</v>
      </c>
    </row>
    <row r="72" spans="1:9" x14ac:dyDescent="0.3">
      <c r="A72" s="24">
        <v>43921</v>
      </c>
      <c r="B72" s="25">
        <v>221.99744200000001</v>
      </c>
      <c r="C72" s="25">
        <v>15.247999999999999</v>
      </c>
      <c r="D72" s="25">
        <v>12.654999999999999</v>
      </c>
      <c r="E72" s="25">
        <v>2.9940000000000002</v>
      </c>
      <c r="F72" s="19">
        <f t="shared" si="3"/>
        <v>14.559118704092342</v>
      </c>
      <c r="G72" s="20">
        <f t="shared" si="4"/>
        <v>8.6691796261682441E-2</v>
      </c>
      <c r="H72" s="20" cm="1">
        <f t="array" ref="H72">PRODUCT(G72:G107+1)^(1/3)-1</f>
        <v>0.12911219207496982</v>
      </c>
      <c r="I72" s="21">
        <f t="shared" si="5"/>
        <v>10.928790573995384</v>
      </c>
    </row>
    <row r="73" spans="1:9" x14ac:dyDescent="0.3">
      <c r="A73" s="24">
        <v>43890</v>
      </c>
      <c r="B73" s="25">
        <v>256.64542499999999</v>
      </c>
      <c r="C73" s="25">
        <v>19.155999999999999</v>
      </c>
      <c r="D73" s="25">
        <v>12.574999999999999</v>
      </c>
      <c r="E73" s="25">
        <v>2.387</v>
      </c>
      <c r="F73" s="19">
        <f t="shared" si="3"/>
        <v>13.397652171643349</v>
      </c>
      <c r="G73" s="20">
        <f t="shared" si="4"/>
        <v>-8.0769784446933612E-2</v>
      </c>
      <c r="H73" s="20" cm="1">
        <f t="array" ref="H73">PRODUCT(G73:G108+1)^(1/3)-1</f>
        <v>0.10998325728747549</v>
      </c>
      <c r="I73" s="21">
        <f t="shared" si="5"/>
        <v>10.85698031250527</v>
      </c>
    </row>
    <row r="74" spans="1:9" x14ac:dyDescent="0.3">
      <c r="A74" s="24">
        <v>43861</v>
      </c>
      <c r="B74" s="25">
        <v>279.19602800000001</v>
      </c>
      <c r="C74" s="25">
        <v>19.155999999999999</v>
      </c>
      <c r="D74" s="25">
        <v>12.574999999999999</v>
      </c>
      <c r="E74" s="25">
        <v>2.387</v>
      </c>
      <c r="F74" s="19">
        <f t="shared" si="3"/>
        <v>14.574860513677178</v>
      </c>
      <c r="G74" s="20">
        <f t="shared" si="4"/>
        <v>-6.9899949421264651E-2</v>
      </c>
      <c r="H74" s="20" cm="1">
        <f t="array" ref="H74">PRODUCT(G74:G109+1)^(1/3)-1</f>
        <v>0.1450310079229804</v>
      </c>
      <c r="I74" s="21">
        <f t="shared" si="5"/>
        <v>10.782754803803012</v>
      </c>
    </row>
    <row r="75" spans="1:9" x14ac:dyDescent="0.3">
      <c r="A75" s="24">
        <v>43830</v>
      </c>
      <c r="B75" s="25">
        <v>282.31445300000001</v>
      </c>
      <c r="C75" s="25">
        <v>18.015999999999998</v>
      </c>
      <c r="D75" s="25">
        <v>12.911</v>
      </c>
      <c r="E75" s="25">
        <v>2.4809999999999999</v>
      </c>
      <c r="F75" s="19">
        <f t="shared" si="3"/>
        <v>15.67020720470693</v>
      </c>
      <c r="G75" s="20">
        <f t="shared" si="4"/>
        <v>3.5215217669350096E-2</v>
      </c>
      <c r="H75" s="20" cm="1">
        <f t="array" ref="H75">PRODUCT(G75:G110+1)^(1/3)-1</f>
        <v>0.17917280185519524</v>
      </c>
      <c r="I75" s="21">
        <f t="shared" si="5"/>
        <v>10.698248637441926</v>
      </c>
    </row>
    <row r="76" spans="1:9" x14ac:dyDescent="0.3">
      <c r="A76" s="24">
        <v>43799</v>
      </c>
      <c r="B76" s="25">
        <v>272.71087999999997</v>
      </c>
      <c r="C76" s="25">
        <v>18.015999999999998</v>
      </c>
      <c r="D76" s="25">
        <v>12.911</v>
      </c>
      <c r="E76" s="25">
        <v>2.4809999999999999</v>
      </c>
      <c r="F76" s="19">
        <f t="shared" si="3"/>
        <v>15.13714920071048</v>
      </c>
      <c r="G76" s="20">
        <f t="shared" si="4"/>
        <v>2.4411461155525283E-2</v>
      </c>
      <c r="H76" s="20" cm="1">
        <f t="array" ref="H76">PRODUCT(G76:G111+1)^(1/3)-1</f>
        <v>0.16929140646570429</v>
      </c>
      <c r="I76" s="21">
        <f t="shared" si="5"/>
        <v>10.605017688620306</v>
      </c>
    </row>
    <row r="77" spans="1:9" x14ac:dyDescent="0.3">
      <c r="A77" s="24">
        <v>43769</v>
      </c>
      <c r="B77" s="25">
        <v>266.21224999999998</v>
      </c>
      <c r="C77" s="25">
        <v>18.015999999999998</v>
      </c>
      <c r="D77" s="25">
        <v>12.911</v>
      </c>
      <c r="E77" s="25">
        <v>2.4809999999999999</v>
      </c>
      <c r="F77" s="19">
        <f t="shared" si="3"/>
        <v>14.776434835701599</v>
      </c>
      <c r="G77" s="20">
        <f t="shared" si="4"/>
        <v>7.4668718929973288E-3</v>
      </c>
      <c r="H77" s="20" cm="1">
        <f t="array" ref="H77">PRODUCT(G77:G112+1)^(1/3)-1</f>
        <v>0.16285959592205623</v>
      </c>
      <c r="I77" s="21">
        <f t="shared" si="5"/>
        <v>10.517410171505725</v>
      </c>
    </row>
    <row r="78" spans="1:9" x14ac:dyDescent="0.3">
      <c r="A78" s="24">
        <v>43738</v>
      </c>
      <c r="B78" s="25">
        <v>259.12045499999999</v>
      </c>
      <c r="C78" s="25">
        <v>17.667000000000002</v>
      </c>
      <c r="D78" s="25">
        <v>13.073</v>
      </c>
      <c r="E78" s="25">
        <v>2.492</v>
      </c>
      <c r="F78" s="19">
        <f t="shared" si="3"/>
        <v>14.666918831720155</v>
      </c>
      <c r="G78" s="20">
        <f t="shared" si="4"/>
        <v>2.1041552050730994E-2</v>
      </c>
      <c r="H78" s="20" cm="1">
        <f t="array" ref="H78">PRODUCT(G78:G113+1)^(1/3)-1</f>
        <v>0.15238603112585003</v>
      </c>
      <c r="I78" s="21">
        <f t="shared" si="5"/>
        <v>10.434406834783697</v>
      </c>
    </row>
    <row r="79" spans="1:9" x14ac:dyDescent="0.3">
      <c r="A79" s="24">
        <v>43708</v>
      </c>
      <c r="B79" s="25">
        <v>253.780519</v>
      </c>
      <c r="C79" s="25">
        <v>17.667000000000002</v>
      </c>
      <c r="D79" s="25">
        <v>13.073</v>
      </c>
      <c r="E79" s="25">
        <v>2.492</v>
      </c>
      <c r="F79" s="19">
        <f t="shared" si="3"/>
        <v>14.364664006339501</v>
      </c>
      <c r="G79" s="20">
        <f t="shared" si="4"/>
        <v>-2.3722299364638877E-2</v>
      </c>
      <c r="H79" s="20" cm="1">
        <f t="array" ref="H79">PRODUCT(G79:G114+1)^(1/3)-1</f>
        <v>0.14409103591311467</v>
      </c>
      <c r="I79" s="21">
        <f t="shared" si="5"/>
        <v>10.352181581588981</v>
      </c>
    </row>
    <row r="80" spans="1:9" x14ac:dyDescent="0.3">
      <c r="A80" s="24">
        <v>43677</v>
      </c>
      <c r="B80" s="25">
        <v>259.94706100000002</v>
      </c>
      <c r="C80" s="25">
        <v>17.667000000000002</v>
      </c>
      <c r="D80" s="25">
        <v>13.073</v>
      </c>
      <c r="E80" s="25">
        <v>2.492</v>
      </c>
      <c r="F80" s="19">
        <f t="shared" si="3"/>
        <v>14.71370696779306</v>
      </c>
      <c r="G80" s="20">
        <f t="shared" si="4"/>
        <v>-4.1091497270243638E-3</v>
      </c>
      <c r="H80" s="20" cm="1">
        <f t="array" ref="H80">PRODUCT(G80:G115+1)^(1/3)-1</f>
        <v>0.14860105980500204</v>
      </c>
      <c r="I80" s="21">
        <f t="shared" si="5"/>
        <v>10.277487342941876</v>
      </c>
    </row>
    <row r="81" spans="1:9" x14ac:dyDescent="0.3">
      <c r="A81" s="24">
        <v>43646</v>
      </c>
      <c r="B81" s="25">
        <v>259.18760200000003</v>
      </c>
      <c r="C81" s="25">
        <v>17.542999999999999</v>
      </c>
      <c r="D81" s="25">
        <v>13.077</v>
      </c>
      <c r="E81" s="25">
        <v>2.4900000000000002</v>
      </c>
      <c r="F81" s="19">
        <f t="shared" si="3"/>
        <v>14.774417260445764</v>
      </c>
      <c r="G81" s="20">
        <f t="shared" si="4"/>
        <v>1.7195037853469763E-2</v>
      </c>
      <c r="H81" s="20" cm="1">
        <f t="array" ref="H81">PRODUCT(G81:G116+1)^(1/3)-1</f>
        <v>0.15052100248116718</v>
      </c>
      <c r="I81" s="21">
        <f t="shared" si="5"/>
        <v>10.202862623041186</v>
      </c>
    </row>
    <row r="82" spans="1:9" x14ac:dyDescent="0.3">
      <c r="A82" s="24">
        <v>43616</v>
      </c>
      <c r="B82" s="25">
        <v>243.25909100000001</v>
      </c>
      <c r="C82" s="25">
        <v>16.748000000000001</v>
      </c>
      <c r="D82" s="25">
        <v>13.061999999999999</v>
      </c>
      <c r="E82" s="25">
        <v>2.6160000000000001</v>
      </c>
      <c r="F82" s="19">
        <f t="shared" si="3"/>
        <v>14.524665094339623</v>
      </c>
      <c r="G82" s="20">
        <f t="shared" si="4"/>
        <v>-4.0334661395476479E-2</v>
      </c>
      <c r="H82" s="20" cm="1">
        <f t="array" ref="H82">PRODUCT(G82:G117+1)^(1/3)-1</f>
        <v>0.13685207180846137</v>
      </c>
      <c r="I82" s="21">
        <f t="shared" si="5"/>
        <v>10.128811605662198</v>
      </c>
    </row>
    <row r="83" spans="1:9" x14ac:dyDescent="0.3">
      <c r="A83" s="24">
        <v>43585</v>
      </c>
      <c r="B83" s="25">
        <v>258.598928</v>
      </c>
      <c r="C83" s="25">
        <v>17.085999999999999</v>
      </c>
      <c r="D83" s="25">
        <v>13.282</v>
      </c>
      <c r="E83" s="25">
        <v>2.5369999999999999</v>
      </c>
      <c r="F83" s="19">
        <f t="shared" si="3"/>
        <v>15.135135666627649</v>
      </c>
      <c r="G83" s="20">
        <f t="shared" si="4"/>
        <v>3.3765627714845259E-2</v>
      </c>
      <c r="H83" s="20" cm="1">
        <f t="array" ref="H83">PRODUCT(G83:G118+1)^(1/3)-1</f>
        <v>0.15304647501858959</v>
      </c>
      <c r="I83" s="21">
        <f t="shared" si="5"/>
        <v>10.061948243982551</v>
      </c>
    </row>
    <row r="84" spans="1:9" x14ac:dyDescent="0.3">
      <c r="A84" s="24">
        <v>43555</v>
      </c>
      <c r="B84" s="25">
        <v>250.152376</v>
      </c>
      <c r="C84" s="25">
        <v>17.085999999999999</v>
      </c>
      <c r="D84" s="25">
        <v>13.282</v>
      </c>
      <c r="E84" s="25">
        <v>2.5369999999999999</v>
      </c>
      <c r="F84" s="19">
        <f t="shared" si="3"/>
        <v>14.640780522064849</v>
      </c>
      <c r="G84" s="20">
        <f t="shared" si="4"/>
        <v>1.3066858661936465E-4</v>
      </c>
      <c r="H84" s="20" cm="1">
        <f t="array" ref="H84">PRODUCT(G84:G119+1)^(1/3)-1</f>
        <v>0.13671984329125442</v>
      </c>
      <c r="I84" s="21">
        <f t="shared" si="5"/>
        <v>9.9911418167547659</v>
      </c>
    </row>
    <row r="85" spans="1:9" x14ac:dyDescent="0.3">
      <c r="A85" s="24">
        <v>43524</v>
      </c>
      <c r="B85" s="25">
        <v>247.04553100000001</v>
      </c>
      <c r="C85" s="25">
        <v>16.876000000000001</v>
      </c>
      <c r="D85" s="25">
        <v>13.266999999999999</v>
      </c>
      <c r="E85" s="25">
        <v>2.5619999999999998</v>
      </c>
      <c r="F85" s="19">
        <f t="shared" si="3"/>
        <v>14.638867681915146</v>
      </c>
      <c r="G85" s="20">
        <f t="shared" si="4"/>
        <v>8.8986460410112045E-4</v>
      </c>
      <c r="H85" s="20" cm="1">
        <f t="array" ref="H85">PRODUCT(G85:G120+1)^(1/3)-1</f>
        <v>0.13073322652497987</v>
      </c>
      <c r="I85" s="21">
        <f t="shared" si="5"/>
        <v>9.9255404910156155</v>
      </c>
    </row>
    <row r="86" spans="1:9" x14ac:dyDescent="0.3">
      <c r="A86" s="24">
        <v>43496</v>
      </c>
      <c r="B86" s="25">
        <v>240.60990200000001</v>
      </c>
      <c r="C86" s="25">
        <v>16.451000000000001</v>
      </c>
      <c r="D86" s="25">
        <v>13.295</v>
      </c>
      <c r="E86" s="25">
        <v>2.6110000000000002</v>
      </c>
      <c r="F86" s="19">
        <f t="shared" si="3"/>
        <v>14.625852653334144</v>
      </c>
      <c r="G86" s="20">
        <f t="shared" si="4"/>
        <v>1.4029179181062723E-2</v>
      </c>
      <c r="H86" s="20" cm="1">
        <f t="array" ref="H86">PRODUCT(G86:G121+1)^(1/3)-1</f>
        <v>0.13423143531832715</v>
      </c>
      <c r="I86" s="21">
        <f t="shared" si="5"/>
        <v>9.8698293831849444</v>
      </c>
    </row>
    <row r="87" spans="1:9" x14ac:dyDescent="0.3">
      <c r="A87" s="24">
        <v>43465</v>
      </c>
      <c r="B87" s="25">
        <v>223.00177600000001</v>
      </c>
      <c r="C87" s="25">
        <v>15.461</v>
      </c>
      <c r="D87" s="25">
        <v>13.269</v>
      </c>
      <c r="E87" s="25">
        <v>2.7770000000000001</v>
      </c>
      <c r="F87" s="19">
        <f t="shared" si="3"/>
        <v>14.42350274885195</v>
      </c>
      <c r="G87" s="20">
        <f t="shared" si="4"/>
        <v>8.3269842053736998E-3</v>
      </c>
      <c r="H87" s="20" cm="1">
        <f t="array" ref="H87">PRODUCT(G87:G122+1)^(1/3)-1</f>
        <v>0.12033120326536451</v>
      </c>
      <c r="I87" s="21">
        <f t="shared" si="5"/>
        <v>9.8190314337366384</v>
      </c>
    </row>
    <row r="88" spans="1:9" x14ac:dyDescent="0.3">
      <c r="A88" s="24">
        <v>43434</v>
      </c>
      <c r="B88" s="25">
        <v>239.89893000000001</v>
      </c>
      <c r="C88" s="25">
        <v>16.771000000000001</v>
      </c>
      <c r="D88" s="25">
        <v>13.156000000000001</v>
      </c>
      <c r="E88" s="25">
        <v>2.5680000000000001</v>
      </c>
      <c r="F88" s="19">
        <f t="shared" si="3"/>
        <v>14.304390316617971</v>
      </c>
      <c r="G88" s="20">
        <f t="shared" si="4"/>
        <v>3.2412067049697457E-2</v>
      </c>
      <c r="H88" s="20" cm="1">
        <f t="array" ref="H88">PRODUCT(G88:G123+1)^(1/3)-1</f>
        <v>0.12140819943001935</v>
      </c>
      <c r="I88" s="21">
        <f t="shared" si="5"/>
        <v>9.7692062074824939</v>
      </c>
    </row>
    <row r="89" spans="1:9" x14ac:dyDescent="0.3">
      <c r="A89" s="24">
        <v>43404</v>
      </c>
      <c r="B89" s="25">
        <v>236.44088300000001</v>
      </c>
      <c r="C89" s="25">
        <v>17.065000000000001</v>
      </c>
      <c r="D89" s="25">
        <v>12.836</v>
      </c>
      <c r="E89" s="25">
        <v>2.5840000000000001</v>
      </c>
      <c r="F89" s="19">
        <f t="shared" si="3"/>
        <v>13.855311046000585</v>
      </c>
      <c r="G89" s="20">
        <f t="shared" si="4"/>
        <v>-7.2805906475303939E-4</v>
      </c>
      <c r="H89" s="20" cm="1">
        <f t="array" ref="H89">PRODUCT(G89:G124+1)^(1/3)-1</f>
        <v>0.10064826169287344</v>
      </c>
      <c r="I89" s="21">
        <f t="shared" si="5"/>
        <v>9.720230076246569</v>
      </c>
    </row>
    <row r="90" spans="1:9" x14ac:dyDescent="0.3">
      <c r="A90" s="24">
        <v>43373</v>
      </c>
      <c r="B90" s="25">
        <v>255.59489199999999</v>
      </c>
      <c r="C90" s="25">
        <v>18.434000000000001</v>
      </c>
      <c r="D90" s="25">
        <v>12.786</v>
      </c>
      <c r="E90" s="25">
        <v>2.39</v>
      </c>
      <c r="F90" s="19">
        <f t="shared" si="3"/>
        <v>13.865405880438319</v>
      </c>
      <c r="G90" s="20">
        <f t="shared" si="4"/>
        <v>1.4050300711134334E-2</v>
      </c>
      <c r="H90" s="20" cm="1">
        <f t="array" ref="H90">PRODUCT(G90:G125+1)^(1/3)-1</f>
        <v>0.10327831754993966</v>
      </c>
      <c r="I90" s="21">
        <f t="shared" si="5"/>
        <v>9.6763757288006609</v>
      </c>
    </row>
    <row r="91" spans="1:9" x14ac:dyDescent="0.3">
      <c r="A91" s="24">
        <v>43343</v>
      </c>
      <c r="B91" s="25">
        <v>254.48731100000001</v>
      </c>
      <c r="C91" s="25">
        <v>18.611999999999998</v>
      </c>
      <c r="D91" s="25">
        <v>12.619</v>
      </c>
      <c r="E91" s="25">
        <v>2.379</v>
      </c>
      <c r="F91" s="19">
        <f t="shared" si="3"/>
        <v>13.673292015903719</v>
      </c>
      <c r="G91" s="20">
        <f t="shared" si="4"/>
        <v>2.7729761742976367E-2</v>
      </c>
      <c r="H91" s="20" cm="1">
        <f t="array" ref="H91">PRODUCT(G91:G126+1)^(1/3)-1</f>
        <v>9.6615473554476416E-2</v>
      </c>
      <c r="I91" s="21">
        <f t="shared" si="5"/>
        <v>9.6357343488071017</v>
      </c>
    </row>
    <row r="92" spans="1:9" x14ac:dyDescent="0.3">
      <c r="A92" s="24">
        <v>43312</v>
      </c>
      <c r="B92" s="25">
        <v>252.503546</v>
      </c>
      <c r="C92" s="25">
        <v>18.978999999999999</v>
      </c>
      <c r="D92" s="25">
        <v>12.292999999999999</v>
      </c>
      <c r="E92" s="25">
        <v>2.3839999999999999</v>
      </c>
      <c r="F92" s="19">
        <f t="shared" si="3"/>
        <v>13.304365140418358</v>
      </c>
      <c r="G92" s="20">
        <f t="shared" si="4"/>
        <v>3.8315373087589588E-3</v>
      </c>
      <c r="H92" s="20" cm="1">
        <f t="array" ref="H92">PRODUCT(G92:G127+1)^(1/3)-1</f>
        <v>8.5970923696409907E-2</v>
      </c>
      <c r="I92" s="21">
        <f t="shared" si="5"/>
        <v>9.6011564861694971</v>
      </c>
    </row>
    <row r="93" spans="1:9" x14ac:dyDescent="0.3">
      <c r="A93" s="24">
        <v>43281</v>
      </c>
      <c r="B93" s="25">
        <v>245.111774</v>
      </c>
      <c r="C93" s="25">
        <v>18.494</v>
      </c>
      <c r="D93" s="25">
        <v>12.273</v>
      </c>
      <c r="E93" s="25">
        <v>2.4279999999999999</v>
      </c>
      <c r="F93" s="19">
        <f t="shared" si="3"/>
        <v>13.253583540607766</v>
      </c>
      <c r="G93" s="20">
        <f t="shared" si="4"/>
        <v>-3.4793572520595006E-3</v>
      </c>
      <c r="H93" s="20" cm="1">
        <f t="array" ref="H93">PRODUCT(G93:G128+1)^(1/3)-1</f>
        <v>8.2173063412640079E-2</v>
      </c>
      <c r="I93" s="21">
        <f t="shared" si="5"/>
        <v>9.5715877075775406</v>
      </c>
    </row>
    <row r="94" spans="1:9" x14ac:dyDescent="0.3">
      <c r="A94" s="24">
        <v>43251</v>
      </c>
      <c r="B94" s="25">
        <v>246.44637800000001</v>
      </c>
      <c r="C94" s="25">
        <v>18.53</v>
      </c>
      <c r="D94" s="25">
        <v>12.241</v>
      </c>
      <c r="E94" s="25">
        <v>2.41</v>
      </c>
      <c r="F94" s="19">
        <f t="shared" si="3"/>
        <v>13.299858499730167</v>
      </c>
      <c r="G94" s="20">
        <f t="shared" si="4"/>
        <v>2.1727339829903158E-2</v>
      </c>
      <c r="H94" s="20" cm="1">
        <f t="array" ref="H94">PRODUCT(G94:G129+1)^(1/3)-1</f>
        <v>8.5384272486090929E-2</v>
      </c>
      <c r="I94" s="21">
        <f t="shared" si="5"/>
        <v>9.5424954983906254</v>
      </c>
    </row>
    <row r="95" spans="1:9" x14ac:dyDescent="0.3">
      <c r="A95" s="24">
        <v>43220</v>
      </c>
      <c r="B95" s="25">
        <v>246.13907699999999</v>
      </c>
      <c r="C95" s="25">
        <v>18.908999999999999</v>
      </c>
      <c r="D95" s="25">
        <v>11.968</v>
      </c>
      <c r="E95" s="25">
        <v>2.4009999999999998</v>
      </c>
      <c r="F95" s="19">
        <f t="shared" si="3"/>
        <v>13.017033000158655</v>
      </c>
      <c r="G95" s="20">
        <f t="shared" si="4"/>
        <v>0.13784548788583662</v>
      </c>
      <c r="H95" s="20" cm="1">
        <f t="array" ref="H95">PRODUCT(G95:G130+1)^(1/3)-1</f>
        <v>7.0665570715076287E-2</v>
      </c>
      <c r="I95" s="21">
        <f t="shared" si="5"/>
        <v>9.5144122793539267</v>
      </c>
    </row>
    <row r="96" spans="1:9" x14ac:dyDescent="0.3">
      <c r="A96" s="24">
        <v>43190</v>
      </c>
      <c r="B96" s="25">
        <v>243.81079</v>
      </c>
      <c r="C96" s="25">
        <v>21.312000000000001</v>
      </c>
      <c r="D96" s="25">
        <v>11.368</v>
      </c>
      <c r="E96" s="25">
        <v>2.2149999999999999</v>
      </c>
      <c r="F96" s="19">
        <f t="shared" si="3"/>
        <v>11.440070852102101</v>
      </c>
      <c r="G96" s="20">
        <f t="shared" si="4"/>
        <v>-2.1406743417279883E-2</v>
      </c>
      <c r="H96" s="20" cm="1">
        <f t="array" ref="H96">PRODUCT(G96:G131+1)^(1/3)-1</f>
        <v>3.1327081652067879E-2</v>
      </c>
      <c r="I96" s="21">
        <f t="shared" si="5"/>
        <v>9.4884856811022278</v>
      </c>
    </row>
    <row r="97" spans="1:9" x14ac:dyDescent="0.3">
      <c r="A97" s="24">
        <v>43159</v>
      </c>
      <c r="B97" s="25">
        <v>249.14415500000001</v>
      </c>
      <c r="C97" s="25">
        <v>21.312000000000001</v>
      </c>
      <c r="D97" s="25">
        <v>11.368</v>
      </c>
      <c r="E97" s="25">
        <v>2.2149999999999999</v>
      </c>
      <c r="F97" s="19">
        <f t="shared" si="3"/>
        <v>11.690322588213213</v>
      </c>
      <c r="G97" s="20">
        <f t="shared" si="4"/>
        <v>-4.1998269996314508E-2</v>
      </c>
      <c r="H97" s="20" cm="1">
        <f t="array" ref="H97">PRODUCT(G97:G132+1)^(1/3)-1</f>
        <v>2.6556126836086102E-2</v>
      </c>
      <c r="I97" s="21">
        <f t="shared" si="5"/>
        <v>9.4760696658704422</v>
      </c>
    </row>
    <row r="98" spans="1:9" x14ac:dyDescent="0.3">
      <c r="A98" s="24">
        <v>43131</v>
      </c>
      <c r="B98" s="25">
        <v>260.06649800000002</v>
      </c>
      <c r="C98" s="25">
        <v>21.312000000000001</v>
      </c>
      <c r="D98" s="25">
        <v>11.368</v>
      </c>
      <c r="E98" s="25">
        <v>2.2149999999999999</v>
      </c>
      <c r="F98" s="19">
        <f t="shared" si="3"/>
        <v>12.202819913663664</v>
      </c>
      <c r="G98" s="20">
        <f t="shared" si="4"/>
        <v>1.884323145469291E-2</v>
      </c>
      <c r="H98" s="20" cm="1">
        <f t="array" ref="H98">PRODUCT(G98:G133+1)^(1/3)-1</f>
        <v>4.3364422035692574E-2</v>
      </c>
      <c r="I98" s="21">
        <f t="shared" si="5"/>
        <v>9.4628559792976663</v>
      </c>
    </row>
    <row r="99" spans="1:9" x14ac:dyDescent="0.3">
      <c r="A99" s="24">
        <v>43100</v>
      </c>
      <c r="B99" s="25">
        <v>246.17797200000001</v>
      </c>
      <c r="C99" s="25">
        <v>20.553999999999998</v>
      </c>
      <c r="D99" s="25">
        <v>11.359</v>
      </c>
      <c r="E99" s="25">
        <v>2.2839999999999998</v>
      </c>
      <c r="F99" s="19">
        <f t="shared" si="3"/>
        <v>11.977132042424834</v>
      </c>
      <c r="G99" s="20">
        <f t="shared" si="4"/>
        <v>6.234376160043853E-3</v>
      </c>
      <c r="H99" s="20" cm="1">
        <f t="array" ref="H99">PRODUCT(G99:G134+1)^(1/3)-1</f>
        <v>3.3586358794578608E-2</v>
      </c>
      <c r="I99" s="21">
        <f t="shared" si="5"/>
        <v>9.4443743363545742</v>
      </c>
    </row>
    <row r="100" spans="1:9" x14ac:dyDescent="0.3">
      <c r="A100" s="24">
        <v>43069</v>
      </c>
      <c r="B100" s="25">
        <v>242.27213</v>
      </c>
      <c r="C100" s="25">
        <v>20.353999999999999</v>
      </c>
      <c r="D100" s="25">
        <v>11.364000000000001</v>
      </c>
      <c r="E100" s="25">
        <v>2.3170000000000002</v>
      </c>
      <c r="F100" s="19">
        <f t="shared" si="3"/>
        <v>11.902924732239365</v>
      </c>
      <c r="G100" s="20">
        <f t="shared" si="4"/>
        <v>2.6069136367775858E-2</v>
      </c>
      <c r="H100" s="20" cm="1">
        <f t="array" ref="H100">PRODUCT(G100:G135+1)^(1/3)-1</f>
        <v>2.7922395800538347E-2</v>
      </c>
      <c r="I100" s="21">
        <f t="shared" si="5"/>
        <v>9.4269037759234671</v>
      </c>
    </row>
    <row r="101" spans="1:9" x14ac:dyDescent="0.3">
      <c r="A101" s="24">
        <v>43039</v>
      </c>
      <c r="B101" s="25">
        <v>237.67123799999999</v>
      </c>
      <c r="C101" s="25">
        <v>20.488</v>
      </c>
      <c r="D101" s="25">
        <v>11.337999999999999</v>
      </c>
      <c r="E101" s="25">
        <v>2.3319999999999999</v>
      </c>
      <c r="F101" s="19">
        <f t="shared" si="3"/>
        <v>11.600509468957439</v>
      </c>
      <c r="G101" s="20">
        <f t="shared" si="4"/>
        <v>-3.6477370097394157E-3</v>
      </c>
      <c r="H101" s="20" cm="1">
        <f t="array" ref="H101">PRODUCT(G101:G136+1)^(1/3)-1</f>
        <v>2.1021995755718725E-2</v>
      </c>
      <c r="I101" s="21">
        <f t="shared" si="5"/>
        <v>9.4104658627320354</v>
      </c>
    </row>
    <row r="102" spans="1:9" x14ac:dyDescent="0.3">
      <c r="A102" s="24">
        <v>43008</v>
      </c>
      <c r="B102" s="25">
        <v>232.83631399999999</v>
      </c>
      <c r="C102" s="25">
        <v>19.998000000000001</v>
      </c>
      <c r="D102" s="25">
        <v>11.346</v>
      </c>
      <c r="E102" s="25">
        <v>2.3849999999999998</v>
      </c>
      <c r="F102" s="19">
        <f t="shared" si="3"/>
        <v>11.642979997999799</v>
      </c>
      <c r="G102" s="20">
        <f t="shared" si="4"/>
        <v>2.0594291712957569E-2</v>
      </c>
      <c r="H102" s="20" cm="1">
        <f t="array" ref="H102">PRODUCT(G102:G137+1)^(1/3)-1</f>
        <v>2.1085247271227736E-2</v>
      </c>
      <c r="I102" s="21">
        <f t="shared" si="5"/>
        <v>9.3962409960350417</v>
      </c>
    </row>
    <row r="103" spans="1:9" x14ac:dyDescent="0.3">
      <c r="A103" s="24">
        <v>42978</v>
      </c>
      <c r="B103" s="25">
        <v>228.42317499999999</v>
      </c>
      <c r="C103" s="25">
        <v>20.023</v>
      </c>
      <c r="D103" s="25">
        <v>11.093</v>
      </c>
      <c r="E103" s="25">
        <v>2.42</v>
      </c>
      <c r="F103" s="19">
        <f t="shared" si="3"/>
        <v>11.408039504569745</v>
      </c>
      <c r="G103" s="20">
        <f t="shared" si="4"/>
        <v>3.5214934866850456E-2</v>
      </c>
      <c r="H103" s="20" cm="1">
        <f t="array" ref="H103">PRODUCT(G103:G138+1)^(1/3)-1</f>
        <v>9.956447703164617E-3</v>
      </c>
      <c r="I103" s="21">
        <f t="shared" si="5"/>
        <v>9.3804778766801356</v>
      </c>
    </row>
    <row r="104" spans="1:9" x14ac:dyDescent="0.3">
      <c r="A104" s="24">
        <v>42947</v>
      </c>
      <c r="B104" s="25">
        <v>227.5514</v>
      </c>
      <c r="C104" s="25">
        <v>20.649000000000001</v>
      </c>
      <c r="D104" s="25">
        <v>10.861000000000001</v>
      </c>
      <c r="E104" s="25">
        <v>2.3980000000000001</v>
      </c>
      <c r="F104" s="19">
        <f t="shared" si="3"/>
        <v>11.019971911472711</v>
      </c>
      <c r="G104" s="20">
        <f t="shared" si="4"/>
        <v>1.7741381990237004E-2</v>
      </c>
      <c r="H104" s="20" cm="1">
        <f t="array" ref="H104">PRODUCT(G104:G139+1)^(1/3)-1</f>
        <v>1.7914983340119317E-3</v>
      </c>
      <c r="I104" s="21">
        <f t="shared" si="5"/>
        <v>9.3624004503755316</v>
      </c>
    </row>
    <row r="105" spans="1:9" x14ac:dyDescent="0.3">
      <c r="A105" s="24">
        <v>42916</v>
      </c>
      <c r="B105" s="25">
        <v>221.36498499999999</v>
      </c>
      <c r="C105" s="25">
        <v>20.443999999999999</v>
      </c>
      <c r="D105" s="25">
        <v>10.863</v>
      </c>
      <c r="E105" s="25">
        <v>2.42</v>
      </c>
      <c r="F105" s="19">
        <f t="shared" si="3"/>
        <v>10.827870524359225</v>
      </c>
      <c r="G105" s="20">
        <f t="shared" si="4"/>
        <v>1.8354812322806557E-2</v>
      </c>
      <c r="H105" s="20" cm="1">
        <f t="array" ref="H105">PRODUCT(G105:G140+1)^(1/3)-1</f>
        <v>-6.4146714176138708E-3</v>
      </c>
      <c r="I105" s="21">
        <f t="shared" si="5"/>
        <v>9.3473477165142569</v>
      </c>
    </row>
    <row r="106" spans="1:9" x14ac:dyDescent="0.3">
      <c r="A106" s="24">
        <v>42886</v>
      </c>
      <c r="B106" s="25">
        <v>220.362897</v>
      </c>
      <c r="C106" s="25">
        <v>20.725000000000001</v>
      </c>
      <c r="D106" s="25">
        <v>10.721</v>
      </c>
      <c r="E106" s="25">
        <v>2.4089999999999998</v>
      </c>
      <c r="F106" s="19">
        <f t="shared" si="3"/>
        <v>10.632709143546441</v>
      </c>
      <c r="G106" s="20">
        <f t="shared" si="4"/>
        <v>4.9453468715887627E-2</v>
      </c>
      <c r="H106" s="20" cm="1">
        <f t="array" ref="H106">PRODUCT(G106:G141+1)^(1/3)-1</f>
        <v>-1.1481324678488392E-2</v>
      </c>
      <c r="I106" s="21">
        <f t="shared" si="5"/>
        <v>9.3331299818297904</v>
      </c>
    </row>
    <row r="107" spans="1:9" x14ac:dyDescent="0.3">
      <c r="A107" s="24">
        <v>42855</v>
      </c>
      <c r="B107" s="25">
        <v>215.60179400000001</v>
      </c>
      <c r="C107" s="25">
        <v>21.28</v>
      </c>
      <c r="D107" s="25">
        <v>10.472</v>
      </c>
      <c r="E107" s="25">
        <v>2.4089999999999998</v>
      </c>
      <c r="F107" s="19">
        <f t="shared" si="3"/>
        <v>10.131663251879699</v>
      </c>
      <c r="G107" s="20">
        <f t="shared" si="4"/>
        <v>1.7444625068754327E-3</v>
      </c>
      <c r="H107" s="20" cm="1">
        <f t="array" ref="H107">PRODUCT(G107:G142+1)^(1/3)-1</f>
        <v>-2.5370369752974242E-2</v>
      </c>
      <c r="I107" s="21">
        <f t="shared" si="5"/>
        <v>9.3190689596745599</v>
      </c>
    </row>
    <row r="108" spans="1:9" x14ac:dyDescent="0.3">
      <c r="A108" s="24">
        <v>42825</v>
      </c>
      <c r="B108" s="25">
        <v>212.293274</v>
      </c>
      <c r="C108" s="25">
        <v>20.99</v>
      </c>
      <c r="D108" s="25">
        <v>10.516999999999999</v>
      </c>
      <c r="E108" s="25">
        <v>2.4279999999999999</v>
      </c>
      <c r="F108" s="19">
        <f t="shared" si="3"/>
        <v>10.114019723677943</v>
      </c>
      <c r="G108" s="20">
        <f t="shared" si="4"/>
        <v>3.2391408870265703E-2</v>
      </c>
      <c r="H108" s="20" cm="1">
        <f t="array" ref="H108">PRODUCT(G108:G143+1)^(1/3)-1</f>
        <v>-2.4867041158973757E-2</v>
      </c>
      <c r="I108" s="21">
        <f t="shared" si="5"/>
        <v>9.3091199097465562</v>
      </c>
    </row>
    <row r="109" spans="1:9" x14ac:dyDescent="0.3">
      <c r="A109" s="24">
        <v>42794</v>
      </c>
      <c r="B109" s="25">
        <v>209.727563</v>
      </c>
      <c r="C109" s="25">
        <v>21.408000000000001</v>
      </c>
      <c r="D109" s="25">
        <v>10.252000000000001</v>
      </c>
      <c r="E109" s="25">
        <v>2.44</v>
      </c>
      <c r="F109" s="19">
        <f t="shared" si="3"/>
        <v>9.7966910967862475</v>
      </c>
      <c r="G109" s="20">
        <f t="shared" si="4"/>
        <v>9.0826763518498943E-3</v>
      </c>
      <c r="H109" s="20" cm="1">
        <f t="array" ref="H109">PRODUCT(G109:G144+1)^(1/3)-1</f>
        <v>-2.8571318104032573E-2</v>
      </c>
      <c r="I109" s="21">
        <f t="shared" si="5"/>
        <v>9.2979082808071389</v>
      </c>
    </row>
    <row r="110" spans="1:9" x14ac:dyDescent="0.3">
      <c r="A110" s="24">
        <v>42766</v>
      </c>
      <c r="B110" s="25">
        <v>204.00495900000001</v>
      </c>
      <c r="C110" s="25">
        <v>21.013000000000002</v>
      </c>
      <c r="D110" s="25">
        <v>10.271000000000001</v>
      </c>
      <c r="E110" s="25">
        <v>2.4670000000000001</v>
      </c>
      <c r="F110" s="19">
        <f t="shared" si="3"/>
        <v>9.7085118260124688</v>
      </c>
      <c r="G110" s="20">
        <f t="shared" si="4"/>
        <v>1.5804857262109007E-2</v>
      </c>
      <c r="H110" s="20" cm="1">
        <f t="array" ref="H110">PRODUCT(G110:G145+1)^(1/3)-1</f>
        <v>-2.6761531587463416E-2</v>
      </c>
      <c r="I110" s="21">
        <f t="shared" si="5"/>
        <v>9.2864908266283912</v>
      </c>
    </row>
    <row r="111" spans="1:9" x14ac:dyDescent="0.3">
      <c r="A111" s="24">
        <v>42735</v>
      </c>
      <c r="B111" s="25">
        <v>198.57529600000001</v>
      </c>
      <c r="C111" s="25">
        <v>20.777000000000001</v>
      </c>
      <c r="D111" s="25">
        <v>10.263999999999999</v>
      </c>
      <c r="E111" s="25">
        <v>2.492</v>
      </c>
      <c r="F111" s="19">
        <f t="shared" si="3"/>
        <v>9.5574575732781444</v>
      </c>
      <c r="G111" s="20">
        <f t="shared" si="4"/>
        <v>9.4075782479858816E-3</v>
      </c>
      <c r="H111" s="20" cm="1">
        <f t="array" ref="H111">PRODUCT(G111:G146+1)^(1/3)-1</f>
        <v>-3.4029171028154392E-2</v>
      </c>
      <c r="I111" s="21">
        <f t="shared" si="5"/>
        <v>9.2751417591634127</v>
      </c>
    </row>
    <row r="112" spans="1:9" x14ac:dyDescent="0.3">
      <c r="A112" s="24">
        <v>42704</v>
      </c>
      <c r="B112" s="25">
        <v>194.37643499999999</v>
      </c>
      <c r="C112" s="25">
        <v>20.529</v>
      </c>
      <c r="D112" s="25">
        <v>10.002000000000001</v>
      </c>
      <c r="E112" s="25">
        <v>2.5859999999999999</v>
      </c>
      <c r="F112" s="19">
        <f t="shared" si="3"/>
        <v>9.4683830191436495</v>
      </c>
      <c r="G112" s="20">
        <f t="shared" si="4"/>
        <v>7.5996270351184059E-3</v>
      </c>
      <c r="H112" s="20" cm="1">
        <f t="array" ref="H112">PRODUCT(G112:G147+1)^(1/3)-1</f>
        <v>-3.7372986092574001E-2</v>
      </c>
      <c r="I112" s="21">
        <f t="shared" si="5"/>
        <v>9.2652228340380915</v>
      </c>
    </row>
    <row r="113" spans="1:9" x14ac:dyDescent="0.3">
      <c r="A113" s="24">
        <v>42674</v>
      </c>
      <c r="B113" s="25">
        <v>192.91038800000001</v>
      </c>
      <c r="C113" s="25">
        <v>20.529</v>
      </c>
      <c r="D113" s="25">
        <v>10.002000000000001</v>
      </c>
      <c r="E113" s="25">
        <v>2.5859999999999999</v>
      </c>
      <c r="F113" s="19">
        <f t="shared" si="3"/>
        <v>9.3969695552632864</v>
      </c>
      <c r="G113" s="20">
        <f t="shared" si="4"/>
        <v>-1.9510635871001547E-2</v>
      </c>
      <c r="H113" s="20" cm="1">
        <f t="array" ref="H113">PRODUCT(G113:G148+1)^(1/3)-1</f>
        <v>-5.7467813908526733E-2</v>
      </c>
      <c r="I113" s="21">
        <f t="shared" si="5"/>
        <v>9.2558505504715711</v>
      </c>
    </row>
    <row r="114" spans="1:9" x14ac:dyDescent="0.3">
      <c r="A114" s="24">
        <v>42643</v>
      </c>
      <c r="B114" s="25">
        <v>196.24113800000001</v>
      </c>
      <c r="C114" s="25">
        <v>20.475999999999999</v>
      </c>
      <c r="D114" s="25">
        <v>10.089</v>
      </c>
      <c r="E114" s="25">
        <v>2.5649999999999999</v>
      </c>
      <c r="F114" s="19">
        <f t="shared" si="3"/>
        <v>9.58395868333659</v>
      </c>
      <c r="G114" s="20">
        <f t="shared" si="4"/>
        <v>-8.4881169423633995E-4</v>
      </c>
      <c r="H114" s="20" cm="1">
        <f t="array" ref="H114">PRODUCT(G114:G149+1)^(1/3)-1</f>
        <v>-3.8713911031658776E-2</v>
      </c>
      <c r="I114" s="21">
        <f t="shared" si="5"/>
        <v>9.2451040509243647</v>
      </c>
    </row>
    <row r="115" spans="1:9" x14ac:dyDescent="0.3">
      <c r="A115" s="24">
        <v>42613</v>
      </c>
      <c r="B115" s="25">
        <v>195.045773</v>
      </c>
      <c r="C115" s="25">
        <v>20.334</v>
      </c>
      <c r="D115" s="25">
        <v>10.227</v>
      </c>
      <c r="E115" s="25">
        <v>2.556</v>
      </c>
      <c r="F115" s="19">
        <f t="shared" si="3"/>
        <v>9.5921005704730984</v>
      </c>
      <c r="G115" s="20">
        <f t="shared" si="4"/>
        <v>-1.2131223333967434E-2</v>
      </c>
      <c r="H115" s="20" cm="1">
        <f t="array" ref="H115">PRODUCT(G115:G150+1)^(1/3)-1</f>
        <v>-2.2162803113102481E-2</v>
      </c>
      <c r="I115" s="21">
        <f t="shared" si="5"/>
        <v>9.2322546234903093</v>
      </c>
    </row>
    <row r="116" spans="1:9" x14ac:dyDescent="0.3">
      <c r="A116" s="24">
        <v>42582</v>
      </c>
      <c r="B116" s="25">
        <v>194.392067</v>
      </c>
      <c r="C116" s="25">
        <v>20.02</v>
      </c>
      <c r="D116" s="25">
        <v>10.345000000000001</v>
      </c>
      <c r="E116" s="25">
        <v>2.5760000000000001</v>
      </c>
      <c r="F116" s="19">
        <f t="shared" si="3"/>
        <v>9.7098934565434565</v>
      </c>
      <c r="G116" s="20">
        <f t="shared" si="4"/>
        <v>8.9324305093851919E-4</v>
      </c>
      <c r="H116" s="20" cm="1">
        <f t="array" ref="H116">PRODUCT(G116:G151+1)^(1/3)-1</f>
        <v>-1.319480128177386E-2</v>
      </c>
      <c r="I116" s="21">
        <f t="shared" si="5"/>
        <v>9.2173226954426006</v>
      </c>
    </row>
    <row r="117" spans="1:9" x14ac:dyDescent="0.3">
      <c r="A117" s="24">
        <v>42551</v>
      </c>
      <c r="B117" s="25">
        <v>186.36058800000001</v>
      </c>
      <c r="C117" s="25">
        <v>19.21</v>
      </c>
      <c r="D117" s="25">
        <v>10.374000000000001</v>
      </c>
      <c r="E117" s="25">
        <v>2.6720000000000002</v>
      </c>
      <c r="F117" s="19">
        <f t="shared" si="3"/>
        <v>9.7012279021343044</v>
      </c>
      <c r="G117" s="20">
        <f t="shared" si="4"/>
        <v>-1.863073456172859E-2</v>
      </c>
      <c r="H117" s="20" cm="1">
        <f t="array" ref="H117">PRODUCT(G117:G152+1)^(1/3)-1</f>
        <v>-1.1015094324888897E-2</v>
      </c>
      <c r="I117" s="21">
        <f t="shared" si="5"/>
        <v>9.2001471313392251</v>
      </c>
    </row>
    <row r="118" spans="1:9" x14ac:dyDescent="0.3">
      <c r="A118" s="24">
        <v>42521</v>
      </c>
      <c r="B118" s="25">
        <v>187.496385</v>
      </c>
      <c r="C118" s="25">
        <v>18.966999999999999</v>
      </c>
      <c r="D118" s="25">
        <v>10.537000000000001</v>
      </c>
      <c r="E118" s="25">
        <v>2.6680000000000001</v>
      </c>
      <c r="F118" s="19">
        <f t="shared" si="3"/>
        <v>9.8854001687140833</v>
      </c>
      <c r="G118" s="20">
        <f t="shared" si="4"/>
        <v>1.2634746829014443E-3</v>
      </c>
      <c r="H118" s="20" cm="1">
        <f t="array" ref="H118">PRODUCT(G118:G153+1)^(1/3)-1</f>
        <v>-7.3301336404703044E-3</v>
      </c>
      <c r="I118" s="21">
        <f t="shared" si="5"/>
        <v>9.1815188038438258</v>
      </c>
    </row>
    <row r="119" spans="1:9" x14ac:dyDescent="0.3">
      <c r="A119" s="24">
        <v>42490</v>
      </c>
      <c r="B119" s="25">
        <v>187.25978699999999</v>
      </c>
      <c r="C119" s="25">
        <v>18.966999999999999</v>
      </c>
      <c r="D119" s="25">
        <v>10.537000000000001</v>
      </c>
      <c r="E119" s="25">
        <v>2.6680000000000001</v>
      </c>
      <c r="F119" s="19">
        <f t="shared" si="3"/>
        <v>9.8729259766963668</v>
      </c>
      <c r="G119" s="20">
        <f t="shared" si="4"/>
        <v>-9.5285201489765381E-3</v>
      </c>
      <c r="H119" s="20" cm="1">
        <f t="array" ref="H119">PRODUCT(G119:G154+1)^(1/3)-1</f>
        <v>-1.0586921655253989E-2</v>
      </c>
      <c r="I119" s="21">
        <f t="shared" si="5"/>
        <v>9.1613557074602632</v>
      </c>
    </row>
    <row r="120" spans="1:9" x14ac:dyDescent="0.3">
      <c r="A120" s="24">
        <v>42460</v>
      </c>
      <c r="B120" s="25">
        <v>184.535832</v>
      </c>
      <c r="C120" s="25">
        <v>18.513000000000002</v>
      </c>
      <c r="D120" s="25">
        <v>10.779</v>
      </c>
      <c r="E120" s="25">
        <v>2.6749999999999998</v>
      </c>
      <c r="F120" s="19">
        <f t="shared" si="3"/>
        <v>9.9679053637984119</v>
      </c>
      <c r="G120" s="20">
        <f t="shared" si="4"/>
        <v>-1.5588036476505085E-2</v>
      </c>
      <c r="H120" s="20" cm="1">
        <f t="array" ref="H120">PRODUCT(G120:G155+1)^(1/3)-1</f>
        <v>-1.8063872254473035E-2</v>
      </c>
      <c r="I120" s="21">
        <f t="shared" si="5"/>
        <v>9.1403424376678739</v>
      </c>
    </row>
    <row r="121" spans="1:9" x14ac:dyDescent="0.3">
      <c r="A121" s="24">
        <v>42429</v>
      </c>
      <c r="B121" s="25">
        <v>171.80352999999999</v>
      </c>
      <c r="C121" s="25">
        <v>16.966999999999999</v>
      </c>
      <c r="D121" s="25">
        <v>11.113</v>
      </c>
      <c r="E121" s="25">
        <v>2.8069999999999999</v>
      </c>
      <c r="F121" s="19">
        <f t="shared" si="3"/>
        <v>10.125745859609831</v>
      </c>
      <c r="G121" s="20">
        <f t="shared" si="4"/>
        <v>1.0208150394774185E-2</v>
      </c>
      <c r="H121" s="20" cm="1">
        <f t="array" ref="H121">PRODUCT(G121:G156+1)^(1/3)-1</f>
        <v>-6.9283772589237014E-3</v>
      </c>
      <c r="I121" s="21">
        <f t="shared" si="5"/>
        <v>9.1168933322820411</v>
      </c>
    </row>
    <row r="122" spans="1:9" x14ac:dyDescent="0.3">
      <c r="A122" s="24">
        <v>42400</v>
      </c>
      <c r="B122" s="25">
        <v>172.99429599999999</v>
      </c>
      <c r="C122" s="25">
        <v>17.259</v>
      </c>
      <c r="D122" s="25">
        <v>11.186</v>
      </c>
      <c r="E122" s="25">
        <v>2.734</v>
      </c>
      <c r="F122" s="19">
        <f t="shared" si="3"/>
        <v>10.023425227417578</v>
      </c>
      <c r="G122" s="20">
        <f t="shared" si="4"/>
        <v>-2.2797184830051775E-2</v>
      </c>
      <c r="H122" s="20" cm="1">
        <f t="array" ref="H122">PRODUCT(G122:G157+1)^(1/3)-1</f>
        <v>-6.3926536262125522E-3</v>
      </c>
      <c r="I122" s="21">
        <f t="shared" si="5"/>
        <v>9.0893818186601827</v>
      </c>
    </row>
    <row r="123" spans="1:9" x14ac:dyDescent="0.3">
      <c r="A123" s="24">
        <v>42369</v>
      </c>
      <c r="B123" s="25">
        <v>184.09733700000001</v>
      </c>
      <c r="C123" s="25">
        <v>17.948</v>
      </c>
      <c r="D123" s="25">
        <v>11.148999999999999</v>
      </c>
      <c r="E123" s="25">
        <v>2.5950000000000002</v>
      </c>
      <c r="F123" s="19">
        <f t="shared" si="3"/>
        <v>10.257261923334077</v>
      </c>
      <c r="G123" s="20">
        <f t="shared" si="4"/>
        <v>1.123775358674628E-2</v>
      </c>
      <c r="H123" s="20" cm="1">
        <f t="array" ref="H123">PRODUCT(G123:G158+1)^(1/3)-1</f>
        <v>2.3512363852054019E-3</v>
      </c>
      <c r="I123" s="21">
        <f t="shared" si="5"/>
        <v>9.0626947001377065</v>
      </c>
    </row>
    <row r="124" spans="1:9" x14ac:dyDescent="0.3">
      <c r="A124" s="24">
        <v>42338</v>
      </c>
      <c r="B124" s="25">
        <v>187.478139</v>
      </c>
      <c r="C124" s="25">
        <v>18.483000000000001</v>
      </c>
      <c r="D124" s="25">
        <v>11.294</v>
      </c>
      <c r="E124" s="25">
        <v>2.5390000000000001</v>
      </c>
      <c r="F124" s="19">
        <f t="shared" si="3"/>
        <v>10.143274306119135</v>
      </c>
      <c r="G124" s="20">
        <f t="shared" si="4"/>
        <v>-2.3870256168719628E-2</v>
      </c>
      <c r="H124" s="20" cm="1">
        <f t="array" ref="H124">PRODUCT(G124:G159+1)^(1/3)-1</f>
        <v>2.8302295904554242E-3</v>
      </c>
      <c r="I124" s="21">
        <f>AVERAGE(F124:F242)</f>
        <v>9.0526563201108452</v>
      </c>
    </row>
    <row r="125" spans="1:9" x14ac:dyDescent="0.3">
      <c r="A125" s="24">
        <v>42308</v>
      </c>
      <c r="B125" s="25">
        <v>189.03885199999999</v>
      </c>
      <c r="C125" s="25">
        <v>18.192</v>
      </c>
      <c r="D125" s="25">
        <v>11.441000000000001</v>
      </c>
      <c r="E125" s="25">
        <v>2.5299999999999998</v>
      </c>
      <c r="F125" s="19">
        <f t="shared" si="3"/>
        <v>10.391317722075637</v>
      </c>
      <c r="G125" s="20">
        <f t="shared" si="4"/>
        <v>6.4525076801960068E-3</v>
      </c>
      <c r="H125" s="20" cm="1">
        <f t="array" ref="H125">PRODUCT(G125:G160+1)^(1/3)-1</f>
        <v>1.3172126580310639E-2</v>
      </c>
      <c r="I125" s="21">
        <f>AVERAGE(F125:F242)</f>
        <v>9.0434137948056872</v>
      </c>
    </row>
    <row r="126" spans="1:9" x14ac:dyDescent="0.3">
      <c r="A126" s="24">
        <v>42277</v>
      </c>
      <c r="B126" s="25">
        <v>175.28238999999999</v>
      </c>
      <c r="C126" s="25">
        <v>16.977</v>
      </c>
      <c r="D126" s="25">
        <v>11.401999999999999</v>
      </c>
      <c r="E126" s="25">
        <v>2.714</v>
      </c>
      <c r="F126" s="19">
        <f t="shared" si="3"/>
        <v>10.324697531954998</v>
      </c>
      <c r="G126" s="20">
        <f t="shared" si="4"/>
        <v>-4.2109245057155853E-3</v>
      </c>
      <c r="H126" s="20" cm="1">
        <f t="array" ref="H126">PRODUCT(G126:G161+1)^(1/3)-1</f>
        <v>1.1574170003805673E-2</v>
      </c>
      <c r="I126" s="21">
        <f>AVERAGE(F126:F242)</f>
        <v>9.0318932484187631</v>
      </c>
    </row>
    <row r="127" spans="1:9" x14ac:dyDescent="0.3">
      <c r="A127" s="24">
        <v>42247</v>
      </c>
      <c r="B127" s="25">
        <v>181.87136599999999</v>
      </c>
      <c r="C127" s="25">
        <v>17.541</v>
      </c>
      <c r="D127" s="25">
        <v>11.455</v>
      </c>
      <c r="E127" s="25">
        <v>2.6110000000000002</v>
      </c>
      <c r="F127" s="19">
        <f t="shared" si="3"/>
        <v>10.368357904338406</v>
      </c>
      <c r="G127" s="20">
        <f t="shared" si="4"/>
        <v>-1.9083628941261033E-3</v>
      </c>
      <c r="H127" s="20" cm="1">
        <f t="array" ref="H127">PRODUCT(G127:G162+1)^(1/3)-1</f>
        <v>1.5287723357783056E-2</v>
      </c>
      <c r="I127" s="21">
        <f>AVERAGE(F127:F242)</f>
        <v>9.0207483839055165</v>
      </c>
    </row>
    <row r="128" spans="1:9" x14ac:dyDescent="0.3">
      <c r="A128" s="24">
        <v>42216</v>
      </c>
      <c r="B128" s="25">
        <v>195.25627499999999</v>
      </c>
      <c r="C128" s="25">
        <v>18.795999999999999</v>
      </c>
      <c r="D128" s="25">
        <v>11.565</v>
      </c>
      <c r="E128" s="25">
        <v>2.4380000000000002</v>
      </c>
      <c r="F128" s="19">
        <f t="shared" si="3"/>
        <v>10.388182326026813</v>
      </c>
      <c r="G128" s="20">
        <f t="shared" si="4"/>
        <v>-6.6634804030474282E-3</v>
      </c>
      <c r="H128" s="20" cm="1">
        <f t="array" ref="H128">PRODUCT(G128:G163+1)^(1/3)-1</f>
        <v>1.1956179444531534E-2</v>
      </c>
      <c r="I128" s="21">
        <f>AVERAGE(F128:F242)</f>
        <v>9.0090300402495807</v>
      </c>
    </row>
    <row r="129" spans="1:9" x14ac:dyDescent="0.3">
      <c r="A129" s="24">
        <v>42185</v>
      </c>
      <c r="B129" s="25">
        <v>193.57513900000001</v>
      </c>
      <c r="C129" s="25">
        <v>18.510000000000002</v>
      </c>
      <c r="D129" s="25">
        <v>11.565</v>
      </c>
      <c r="E129" s="25">
        <v>2.4729999999999999</v>
      </c>
      <c r="F129" s="19">
        <f t="shared" si="3"/>
        <v>10.457868125337654</v>
      </c>
      <c r="G129" s="20">
        <f t="shared" si="4"/>
        <v>5.4181324162727584E-3</v>
      </c>
      <c r="H129" s="20" cm="1">
        <f t="array" ref="H129">PRODUCT(G129:G164+1)^(1/3)-1</f>
        <v>1.416649723553709E-2</v>
      </c>
      <c r="I129" s="21">
        <f>AVERAGE(F129:F242)</f>
        <v>8.9969322131813634</v>
      </c>
    </row>
    <row r="130" spans="1:9" x14ac:dyDescent="0.3">
      <c r="A130" s="24">
        <v>42155</v>
      </c>
      <c r="B130" s="25">
        <v>198.24240499999999</v>
      </c>
      <c r="C130" s="25">
        <v>19.059000000000001</v>
      </c>
      <c r="D130" s="25">
        <v>11.565</v>
      </c>
      <c r="E130" s="25">
        <v>2.3919999999999999</v>
      </c>
      <c r="F130" s="19">
        <f t="shared" ref="F130:F193" si="6">B130/C130</f>
        <v>10.40151135946272</v>
      </c>
      <c r="G130" s="20">
        <f t="shared" ref="G130:G193" si="7">F130/F131-1</f>
        <v>-1.9277918351478185E-2</v>
      </c>
      <c r="H130" s="20" cm="1">
        <f t="array" ref="H130">PRODUCT(G130:G165+1)^(1/3)-1</f>
        <v>1.9246094340529041E-2</v>
      </c>
      <c r="I130" s="21">
        <f>AVERAGE(F130:F242)</f>
        <v>8.9840035767905988</v>
      </c>
    </row>
    <row r="131" spans="1:9" x14ac:dyDescent="0.3">
      <c r="A131" s="24">
        <v>42124</v>
      </c>
      <c r="B131" s="25">
        <v>198.50138000000001</v>
      </c>
      <c r="C131" s="25">
        <v>18.716000000000001</v>
      </c>
      <c r="D131" s="25">
        <v>11.766999999999999</v>
      </c>
      <c r="E131" s="25">
        <v>2.387</v>
      </c>
      <c r="F131" s="19">
        <f t="shared" si="6"/>
        <v>10.605972430006412</v>
      </c>
      <c r="G131" s="20">
        <f t="shared" si="7"/>
        <v>1.697680049036987E-2</v>
      </c>
      <c r="H131" s="20" cm="1">
        <f t="array" ref="H131">PRODUCT(G131:G166+1)^(1/3)-1</f>
        <v>2.3618159882140555E-2</v>
      </c>
      <c r="I131" s="21">
        <f>AVERAGE(F131:F242)</f>
        <v>8.9713472573024564</v>
      </c>
    </row>
    <row r="132" spans="1:9" x14ac:dyDescent="0.3">
      <c r="A132" s="24">
        <v>42094</v>
      </c>
      <c r="B132" s="25">
        <v>192.903783</v>
      </c>
      <c r="C132" s="25">
        <v>18.497</v>
      </c>
      <c r="D132" s="25">
        <v>11.787000000000001</v>
      </c>
      <c r="E132" s="25">
        <v>2.3889999999999998</v>
      </c>
      <c r="F132" s="19">
        <f t="shared" si="6"/>
        <v>10.428922690165972</v>
      </c>
      <c r="G132" s="20">
        <f t="shared" si="7"/>
        <v>-3.4925032973719627E-2</v>
      </c>
      <c r="H132" s="20" cm="1">
        <f t="array" ref="H132">PRODUCT(G132:G167+1)^(1/3)-1</f>
        <v>1.7787322211542778E-2</v>
      </c>
      <c r="I132" s="21">
        <f>AVERAGE(F132:F242)</f>
        <v>8.9566209043952103</v>
      </c>
    </row>
    <row r="133" spans="1:9" x14ac:dyDescent="0.3">
      <c r="A133" s="24">
        <v>42063</v>
      </c>
      <c r="B133" s="25">
        <v>195.94045299999999</v>
      </c>
      <c r="C133" s="25">
        <v>18.132000000000001</v>
      </c>
      <c r="D133" s="25">
        <v>12.11</v>
      </c>
      <c r="E133" s="25">
        <v>2.3610000000000002</v>
      </c>
      <c r="F133" s="19">
        <f t="shared" si="6"/>
        <v>10.806334270902271</v>
      </c>
      <c r="G133" s="20">
        <f t="shared" si="7"/>
        <v>5.8338932872905591E-3</v>
      </c>
      <c r="H133" s="20" cm="1">
        <f t="array" ref="H133">PRODUCT(G133:G168+1)^(1/3)-1</f>
        <v>2.7334928408146109E-2</v>
      </c>
      <c r="I133" s="21">
        <f>AVERAGE(F133:F242)</f>
        <v>8.9432363427063848</v>
      </c>
    </row>
    <row r="134" spans="1:9" x14ac:dyDescent="0.3">
      <c r="A134" s="24">
        <v>42035</v>
      </c>
      <c r="B134" s="25">
        <v>185.607417</v>
      </c>
      <c r="C134" s="25">
        <v>17.276</v>
      </c>
      <c r="D134" s="25">
        <v>12.090999999999999</v>
      </c>
      <c r="E134" s="25">
        <v>2.4609999999999999</v>
      </c>
      <c r="F134" s="19">
        <f t="shared" si="6"/>
        <v>10.743656922898818</v>
      </c>
      <c r="G134" s="20">
        <f t="shared" si="7"/>
        <v>-9.533934337054184E-3</v>
      </c>
      <c r="H134" s="20" cm="1">
        <f t="array" ref="H134">PRODUCT(G134:G169+1)^(1/3)-1</f>
        <v>2.3873759594915223E-2</v>
      </c>
      <c r="I134" s="21">
        <f>AVERAGE(F134:F242)</f>
        <v>8.9261437011633049</v>
      </c>
    </row>
    <row r="135" spans="1:9" x14ac:dyDescent="0.3">
      <c r="A135" s="24">
        <v>42004</v>
      </c>
      <c r="B135" s="25">
        <v>188.55465599999999</v>
      </c>
      <c r="C135" s="25">
        <v>17.382999999999999</v>
      </c>
      <c r="D135" s="25">
        <v>12.057</v>
      </c>
      <c r="E135" s="25">
        <v>2.4609999999999999</v>
      </c>
      <c r="F135" s="19">
        <f t="shared" si="6"/>
        <v>10.847072196974056</v>
      </c>
      <c r="G135" s="20">
        <f t="shared" si="7"/>
        <v>-1.0217369003798327E-2</v>
      </c>
      <c r="H135" s="20" cm="1">
        <f t="array" ref="H135">PRODUCT(G135:G170+1)^(1/3)-1</f>
        <v>3.0682567196199662E-2</v>
      </c>
      <c r="I135" s="21">
        <f>AVERAGE(F135:F242)</f>
        <v>8.909314875036122</v>
      </c>
    </row>
    <row r="136" spans="1:9" x14ac:dyDescent="0.3">
      <c r="A136" s="24">
        <v>41973</v>
      </c>
      <c r="B136" s="25">
        <v>192.26548199999999</v>
      </c>
      <c r="C136" s="25">
        <v>17.544</v>
      </c>
      <c r="D136" s="25">
        <v>12.112</v>
      </c>
      <c r="E136" s="25">
        <v>2.4609999999999999</v>
      </c>
      <c r="F136" s="19">
        <f t="shared" si="6"/>
        <v>10.959044801641586</v>
      </c>
      <c r="G136" s="20">
        <f t="shared" si="7"/>
        <v>5.5436641405905984E-3</v>
      </c>
      <c r="H136" s="20" cm="1">
        <f t="array" ref="H136">PRODUCT(G136:G171+1)^(1/3)-1</f>
        <v>2.8359781518120242E-2</v>
      </c>
      <c r="I136" s="21">
        <f>AVERAGE(F136:F242)</f>
        <v>8.8912049935226829</v>
      </c>
    </row>
    <row r="137" spans="1:9" x14ac:dyDescent="0.3">
      <c r="A137" s="24">
        <v>41943</v>
      </c>
      <c r="B137" s="25">
        <v>189.102068</v>
      </c>
      <c r="C137" s="25">
        <v>17.350999999999999</v>
      </c>
      <c r="D137" s="25">
        <v>12.005000000000001</v>
      </c>
      <c r="E137" s="25">
        <v>2.4609999999999999</v>
      </c>
      <c r="F137" s="19">
        <f t="shared" si="6"/>
        <v>10.898626476860125</v>
      </c>
      <c r="G137" s="20">
        <f t="shared" si="7"/>
        <v>-3.4625558039098614E-3</v>
      </c>
      <c r="H137" s="20" cm="1">
        <f t="array" ref="H137">PRODUCT(G137:G172+1)^(1/3)-1</f>
        <v>2.4211338638745028E-2</v>
      </c>
      <c r="I137" s="21">
        <f>AVERAGE(F137:F242)</f>
        <v>8.8716970708045793</v>
      </c>
    </row>
    <row r="138" spans="1:9" x14ac:dyDescent="0.3">
      <c r="A138" s="24">
        <v>41912</v>
      </c>
      <c r="B138" s="25">
        <v>187.77961400000001</v>
      </c>
      <c r="C138" s="25">
        <v>17.170000000000002</v>
      </c>
      <c r="D138" s="25">
        <v>11.994</v>
      </c>
      <c r="E138" s="25">
        <v>2.4609999999999999</v>
      </c>
      <c r="F138" s="19">
        <f t="shared" si="6"/>
        <v>10.93649470005824</v>
      </c>
      <c r="G138" s="20">
        <f t="shared" si="7"/>
        <v>-1.2413672440822254E-2</v>
      </c>
      <c r="H138" s="20" cm="1">
        <f t="array" ref="H138">PRODUCT(G138:G173+1)^(1/3)-1</f>
        <v>3.2546825037520932E-2</v>
      </c>
      <c r="I138" s="21">
        <f>AVERAGE(F138:F242)</f>
        <v>8.8523929812230975</v>
      </c>
    </row>
    <row r="139" spans="1:9" x14ac:dyDescent="0.3">
      <c r="A139" s="24">
        <v>41882</v>
      </c>
      <c r="B139" s="25">
        <v>194.07120599999999</v>
      </c>
      <c r="C139" s="25">
        <v>17.524999999999999</v>
      </c>
      <c r="D139" s="25">
        <v>11.988</v>
      </c>
      <c r="E139" s="25">
        <v>2.4609999999999999</v>
      </c>
      <c r="F139" s="19">
        <f t="shared" si="6"/>
        <v>11.073963252496434</v>
      </c>
      <c r="G139" s="20">
        <f t="shared" si="7"/>
        <v>1.030991642240342E-2</v>
      </c>
      <c r="H139" s="20" cm="1">
        <f t="array" ref="H139">PRODUCT(G139:G174+1)^(1/3)-1</f>
        <v>2.8468423521771147E-2</v>
      </c>
      <c r="I139" s="21">
        <f>AVERAGE(F139:F242)</f>
        <v>8.8323535416189127</v>
      </c>
    </row>
    <row r="140" spans="1:9" x14ac:dyDescent="0.3">
      <c r="A140" s="24">
        <v>41851</v>
      </c>
      <c r="B140" s="25">
        <v>189.876653</v>
      </c>
      <c r="C140" s="25">
        <v>17.323</v>
      </c>
      <c r="D140" s="25">
        <v>11.936999999999999</v>
      </c>
      <c r="E140" s="25">
        <v>2.4609999999999999</v>
      </c>
      <c r="F140" s="19">
        <f t="shared" si="6"/>
        <v>10.960956704958726</v>
      </c>
      <c r="G140" s="20">
        <f t="shared" si="7"/>
        <v>-7.0647737050419934E-3</v>
      </c>
      <c r="H140" s="20" cm="1">
        <f t="array" ref="H140">PRODUCT(G140:G175+1)^(1/3)-1</f>
        <v>3.2119789712914182E-2</v>
      </c>
      <c r="I140" s="21">
        <f>AVERAGE(F140:F242)</f>
        <v>8.8105903405424328</v>
      </c>
    </row>
    <row r="141" spans="1:9" x14ac:dyDescent="0.3">
      <c r="A141" s="24">
        <v>41820</v>
      </c>
      <c r="B141" s="25">
        <v>192.21009900000001</v>
      </c>
      <c r="C141" s="25">
        <v>17.411999999999999</v>
      </c>
      <c r="D141" s="25">
        <v>11.941000000000001</v>
      </c>
      <c r="E141" s="25">
        <v>2.4609999999999999</v>
      </c>
      <c r="F141" s="19">
        <f t="shared" si="6"/>
        <v>11.038944348725019</v>
      </c>
      <c r="G141" s="20">
        <f t="shared" si="7"/>
        <v>2.8552340720708891E-3</v>
      </c>
      <c r="H141" s="20" cm="1">
        <f t="array" ref="H141">PRODUCT(G141:G176+1)^(1/3)-1</f>
        <v>3.0803868290253389E-2</v>
      </c>
      <c r="I141" s="21">
        <f>AVERAGE(F141:F242)</f>
        <v>8.7895083173618804</v>
      </c>
    </row>
    <row r="142" spans="1:9" x14ac:dyDescent="0.3">
      <c r="A142" s="24">
        <v>41790</v>
      </c>
      <c r="B142" s="25">
        <v>188.657805</v>
      </c>
      <c r="C142" s="25">
        <v>17.138999999999999</v>
      </c>
      <c r="D142" s="25">
        <v>11.997999999999999</v>
      </c>
      <c r="E142" s="25">
        <v>2.4609999999999999</v>
      </c>
      <c r="F142" s="19">
        <f t="shared" si="6"/>
        <v>11.007515315946089</v>
      </c>
      <c r="G142" s="20">
        <f t="shared" si="7"/>
        <v>5.8364811424826968E-3</v>
      </c>
      <c r="H142" s="20" cm="1">
        <f t="array" ref="H142">PRODUCT(G142:G177+1)^(1/3)-1</f>
        <v>3.448504638838501E-2</v>
      </c>
      <c r="I142" s="21">
        <f>AVERAGE(F142:F242)</f>
        <v>8.7672366734869964</v>
      </c>
    </row>
    <row r="143" spans="1:9" x14ac:dyDescent="0.3">
      <c r="A143" s="24">
        <v>41759</v>
      </c>
      <c r="B143" s="25">
        <v>184.72869299999999</v>
      </c>
      <c r="C143" s="25">
        <v>16.88</v>
      </c>
      <c r="D143" s="25">
        <v>11.984999999999999</v>
      </c>
      <c r="E143" s="25">
        <v>2.4609999999999999</v>
      </c>
      <c r="F143" s="19">
        <f t="shared" si="6"/>
        <v>10.943642950236967</v>
      </c>
      <c r="G143" s="20">
        <f t="shared" si="7"/>
        <v>3.2972587141060217E-3</v>
      </c>
      <c r="H143" s="20" cm="1">
        <f t="array" ref="H143">PRODUCT(G143:G178+1)^(1/3)-1</f>
        <v>4.0373908382267176E-2</v>
      </c>
      <c r="I143" s="21">
        <f>AVERAGE(F143:F242)</f>
        <v>8.7448338870624056</v>
      </c>
    </row>
    <row r="144" spans="1:9" x14ac:dyDescent="0.3">
      <c r="A144" s="24">
        <v>41729</v>
      </c>
      <c r="B144" s="25">
        <v>182.98719800000001</v>
      </c>
      <c r="C144" s="25">
        <v>16.776</v>
      </c>
      <c r="D144" s="25">
        <v>12.077999999999999</v>
      </c>
      <c r="E144" s="25">
        <v>2.4609999999999999</v>
      </c>
      <c r="F144" s="19">
        <f t="shared" si="6"/>
        <v>10.907677515498332</v>
      </c>
      <c r="G144" s="20">
        <f t="shared" si="7"/>
        <v>2.0670685034744007E-2</v>
      </c>
      <c r="H144" s="20" cm="1">
        <f t="array" ref="H144">PRODUCT(G144:G179+1)^(1/3)-1</f>
        <v>5.032158719403057E-2</v>
      </c>
      <c r="I144" s="21">
        <f>AVERAGE(F144:F242)</f>
        <v>8.7226236945050868</v>
      </c>
    </row>
    <row r="145" spans="1:9" x14ac:dyDescent="0.3">
      <c r="A145" s="24">
        <v>41698</v>
      </c>
      <c r="B145" s="25">
        <v>182.177446</v>
      </c>
      <c r="C145" s="25">
        <v>17.047000000000001</v>
      </c>
      <c r="D145" s="25">
        <v>12</v>
      </c>
      <c r="E145" s="25">
        <v>2.4609999999999999</v>
      </c>
      <c r="F145" s="19">
        <f t="shared" si="6"/>
        <v>10.68677456443949</v>
      </c>
      <c r="G145" s="20">
        <f t="shared" si="7"/>
        <v>1.4732999383487044E-2</v>
      </c>
      <c r="H145" s="20" cm="1">
        <f t="array" ref="H145">PRODUCT(G145:G180+1)^(1/3)-1</f>
        <v>6.954624729938863E-2</v>
      </c>
      <c r="I145" s="21">
        <f>AVERAGE(F145:F242)</f>
        <v>8.70032722694393</v>
      </c>
    </row>
    <row r="146" spans="1:9" x14ac:dyDescent="0.3">
      <c r="A146" s="24">
        <v>41670</v>
      </c>
      <c r="B146" s="25">
        <v>173.78213500000001</v>
      </c>
      <c r="C146" s="25">
        <v>16.501000000000001</v>
      </c>
      <c r="D146" s="25">
        <v>12.087999999999999</v>
      </c>
      <c r="E146" s="25">
        <v>2.4609999999999999</v>
      </c>
      <c r="F146" s="19">
        <f t="shared" si="6"/>
        <v>10.531612326525664</v>
      </c>
      <c r="G146" s="20">
        <f t="shared" si="7"/>
        <v>-6.7821413152563403E-3</v>
      </c>
      <c r="H146" s="20" cm="1">
        <f t="array" ref="H146">PRODUCT(G146:G181+1)^(1/3)-1</f>
        <v>6.8691738028483496E-2</v>
      </c>
      <c r="I146" s="21">
        <f>AVERAGE(F146:F242)</f>
        <v>8.6798483884130491</v>
      </c>
    </row>
    <row r="147" spans="1:9" x14ac:dyDescent="0.3">
      <c r="A147" s="24">
        <v>41639</v>
      </c>
      <c r="B147" s="25">
        <v>181.02341200000001</v>
      </c>
      <c r="C147" s="25">
        <v>17.071999999999999</v>
      </c>
      <c r="D147" s="25">
        <v>12.118</v>
      </c>
      <c r="E147" s="25">
        <v>2.4609999999999999</v>
      </c>
      <c r="F147" s="19">
        <f t="shared" si="6"/>
        <v>10.603526944704781</v>
      </c>
      <c r="G147" s="20">
        <f t="shared" si="7"/>
        <v>-1.038705743570012E-3</v>
      </c>
      <c r="H147" s="20" cm="1">
        <f t="array" ref="H147">PRODUCT(G147:G182+1)^(1/3)-1</f>
        <v>7.2335570912041902E-2</v>
      </c>
      <c r="I147" s="21">
        <f>AVERAGE(F147:F242)</f>
        <v>8.6605591807243769</v>
      </c>
    </row>
    <row r="148" spans="1:9" x14ac:dyDescent="0.3">
      <c r="A148" s="24">
        <v>41608</v>
      </c>
      <c r="B148" s="25">
        <v>177.95296999999999</v>
      </c>
      <c r="C148" s="25">
        <v>16.765000000000001</v>
      </c>
      <c r="D148" s="25">
        <v>12.102</v>
      </c>
      <c r="E148" s="25">
        <v>2.4609999999999999</v>
      </c>
      <c r="F148" s="19">
        <f t="shared" si="6"/>
        <v>10.614552341186997</v>
      </c>
      <c r="G148" s="20">
        <f t="shared" si="7"/>
        <v>-5.4193200088746285E-2</v>
      </c>
      <c r="H148" s="20" cm="1">
        <f t="array" ref="H148">PRODUCT(G148:G183+1)^(1/3)-1</f>
        <v>8.1381142090958702E-2</v>
      </c>
      <c r="I148" s="21">
        <f t="shared" ref="I148:I211" si="8">AVERAGE(F148:F242)</f>
        <v>8.6401068884719514</v>
      </c>
    </row>
    <row r="149" spans="1:9" x14ac:dyDescent="0.3">
      <c r="A149" s="24">
        <v>41578</v>
      </c>
      <c r="B149" s="25">
        <v>175.467681</v>
      </c>
      <c r="C149" s="25">
        <v>15.635</v>
      </c>
      <c r="D149" s="25">
        <v>11.999000000000001</v>
      </c>
      <c r="E149" s="25">
        <v>2.4609999999999999</v>
      </c>
      <c r="F149" s="19">
        <f t="shared" si="6"/>
        <v>11.222749024624241</v>
      </c>
      <c r="G149" s="20">
        <f t="shared" si="7"/>
        <v>4.0189081332307364E-2</v>
      </c>
      <c r="H149" s="20" cm="1">
        <f t="array" ref="H149">PRODUCT(G149:G184+1)^(1/3)-1</f>
        <v>0.11550021175433067</v>
      </c>
      <c r="I149" s="21">
        <f t="shared" si="8"/>
        <v>8.6191021496132798</v>
      </c>
    </row>
    <row r="150" spans="1:9" x14ac:dyDescent="0.3">
      <c r="A150" s="24">
        <v>41547</v>
      </c>
      <c r="B150" s="25">
        <v>168.688255</v>
      </c>
      <c r="C150" s="25">
        <v>15.635</v>
      </c>
      <c r="D150" s="25">
        <v>11.999000000000001</v>
      </c>
      <c r="E150" s="25">
        <v>2.4609999999999999</v>
      </c>
      <c r="F150" s="19">
        <f t="shared" si="6"/>
        <v>10.789143268308283</v>
      </c>
      <c r="G150" s="20">
        <f t="shared" si="7"/>
        <v>5.1654048111042572E-2</v>
      </c>
      <c r="H150" s="20" cm="1">
        <f t="array" ref="H150">PRODUCT(G150:G185+1)^(1/3)-1</f>
        <v>0.10594318840051109</v>
      </c>
      <c r="I150" s="21">
        <f t="shared" si="8"/>
        <v>8.5911059466561728</v>
      </c>
    </row>
    <row r="151" spans="1:9" x14ac:dyDescent="0.3">
      <c r="A151" s="24">
        <v>41517</v>
      </c>
      <c r="B151" s="25">
        <v>160.40280100000001</v>
      </c>
      <c r="C151" s="25">
        <v>15.635</v>
      </c>
      <c r="D151" s="25">
        <v>11.999000000000001</v>
      </c>
      <c r="E151" s="25">
        <v>2.4609999999999999</v>
      </c>
      <c r="F151" s="19">
        <f t="shared" si="6"/>
        <v>10.259213367444836</v>
      </c>
      <c r="G151" s="20">
        <f t="shared" si="7"/>
        <v>1.5298826009777056E-2</v>
      </c>
      <c r="H151" s="20" cm="1">
        <f t="array" ref="H151">PRODUCT(G151:G186+1)^(1/3)-1</f>
        <v>0.10403414401378375</v>
      </c>
      <c r="I151" s="21">
        <f t="shared" si="8"/>
        <v>8.5672142366382165</v>
      </c>
    </row>
    <row r="152" spans="1:9" x14ac:dyDescent="0.3">
      <c r="A152" s="24">
        <v>41486</v>
      </c>
      <c r="B152" s="25">
        <v>163.81617199999999</v>
      </c>
      <c r="C152" s="25">
        <v>16.212</v>
      </c>
      <c r="D152" s="25">
        <v>11.840999999999999</v>
      </c>
      <c r="E152" s="25">
        <v>2.4609999999999999</v>
      </c>
      <c r="F152" s="19">
        <f t="shared" si="6"/>
        <v>10.104624475697014</v>
      </c>
      <c r="G152" s="20">
        <f t="shared" si="7"/>
        <v>7.540380096931365E-3</v>
      </c>
      <c r="H152" s="20" cm="1">
        <f t="array" ref="H152">PRODUCT(G152:G187+1)^(1/3)-1</f>
        <v>0.12017747828608805</v>
      </c>
      <c r="I152" s="21">
        <f t="shared" si="8"/>
        <v>8.548620839596385</v>
      </c>
    </row>
    <row r="153" spans="1:9" x14ac:dyDescent="0.3">
      <c r="A153" s="24">
        <v>41455</v>
      </c>
      <c r="B153" s="25">
        <v>156.33208300000001</v>
      </c>
      <c r="C153" s="25">
        <v>15.587999999999999</v>
      </c>
      <c r="D153" s="25">
        <v>11.852</v>
      </c>
      <c r="E153" s="25">
        <v>2.4609999999999999</v>
      </c>
      <c r="F153" s="19">
        <f t="shared" si="6"/>
        <v>10.029001988709265</v>
      </c>
      <c r="G153" s="20">
        <f t="shared" si="7"/>
        <v>-7.6200561007112588E-3</v>
      </c>
      <c r="H153" s="20" cm="1">
        <f t="array" ref="H153">PRODUCT(G153:G188+1)^(1/3)-1</f>
        <v>0.12759113972746228</v>
      </c>
      <c r="I153" s="21">
        <f t="shared" si="8"/>
        <v>8.5313319103063776</v>
      </c>
    </row>
    <row r="154" spans="1:9" x14ac:dyDescent="0.3">
      <c r="A154" s="24">
        <v>41425</v>
      </c>
      <c r="B154" s="25">
        <v>161.039275</v>
      </c>
      <c r="C154" s="25">
        <v>15.935</v>
      </c>
      <c r="D154" s="25">
        <v>11.965</v>
      </c>
      <c r="E154" s="25">
        <v>2.4609999999999999</v>
      </c>
      <c r="F154" s="19">
        <f t="shared" si="6"/>
        <v>10.106010354565422</v>
      </c>
      <c r="G154" s="20">
        <f t="shared" si="7"/>
        <v>-8.5591749310489629E-3</v>
      </c>
      <c r="H154" s="20" cm="1">
        <f t="array" ref="H154">PRODUCT(G154:G189+1)^(1/3)-1</f>
        <v>0.15034033926707502</v>
      </c>
      <c r="I154" s="21">
        <f t="shared" si="8"/>
        <v>8.5145041566164572</v>
      </c>
    </row>
    <row r="155" spans="1:9" x14ac:dyDescent="0.3">
      <c r="A155" s="24">
        <v>41394</v>
      </c>
      <c r="B155" s="25">
        <v>161.48156499999999</v>
      </c>
      <c r="C155" s="25">
        <v>15.842000000000001</v>
      </c>
      <c r="D155" s="25">
        <v>12.081</v>
      </c>
      <c r="E155" s="25">
        <v>2.4609999999999999</v>
      </c>
      <c r="F155" s="19">
        <f t="shared" si="6"/>
        <v>10.193256217649285</v>
      </c>
      <c r="G155" s="20">
        <f t="shared" si="7"/>
        <v>-3.1814103996175791E-2</v>
      </c>
      <c r="H155" s="20" cm="1">
        <f t="array" ref="H155">PRODUCT(G155:G190+1)^(1/3)-1</f>
        <v>0.18124780211713332</v>
      </c>
      <c r="I155" s="21">
        <f t="shared" si="8"/>
        <v>8.4964188589124916</v>
      </c>
    </row>
    <row r="156" spans="1:9" x14ac:dyDescent="0.3">
      <c r="A156" s="24">
        <v>41364</v>
      </c>
      <c r="B156" s="25">
        <v>156.99654100000001</v>
      </c>
      <c r="C156" s="25">
        <v>14.912000000000001</v>
      </c>
      <c r="D156" s="25">
        <v>12.340999999999999</v>
      </c>
      <c r="E156" s="25">
        <v>2.4609999999999999</v>
      </c>
      <c r="F156" s="19">
        <f t="shared" si="6"/>
        <v>10.52820151555794</v>
      </c>
      <c r="G156" s="20">
        <f t="shared" si="7"/>
        <v>1.828391096987847E-2</v>
      </c>
      <c r="H156" s="20" cm="1">
        <f t="array" ref="H156">PRODUCT(G156:G191+1)^(1/3)-1</f>
        <v>0.21006841616191463</v>
      </c>
      <c r="I156" s="21">
        <f t="shared" si="8"/>
        <v>8.4769149812258622</v>
      </c>
    </row>
    <row r="157" spans="1:9" x14ac:dyDescent="0.3">
      <c r="A157" s="24">
        <v>41333</v>
      </c>
      <c r="B157" s="25">
        <v>154.177572</v>
      </c>
      <c r="C157" s="25">
        <v>14.912000000000001</v>
      </c>
      <c r="D157" s="25">
        <v>12.340999999999999</v>
      </c>
      <c r="E157" s="25">
        <v>2.4609999999999999</v>
      </c>
      <c r="F157" s="19">
        <f t="shared" si="6"/>
        <v>10.339161212446351</v>
      </c>
      <c r="G157" s="20">
        <f t="shared" si="7"/>
        <v>1.1843936895546525E-2</v>
      </c>
      <c r="H157" s="20" cm="1">
        <f t="array" ref="H157">PRODUCT(G157:G192+1)^(1/3)-1</f>
        <v>0.32046612502287242</v>
      </c>
      <c r="I157" s="21">
        <f t="shared" si="8"/>
        <v>8.4530628122220008</v>
      </c>
    </row>
    <row r="158" spans="1:9" x14ac:dyDescent="0.3">
      <c r="A158" s="24">
        <v>41305</v>
      </c>
      <c r="B158" s="25">
        <v>154.20192399999999</v>
      </c>
      <c r="C158" s="25">
        <v>15.090999999999999</v>
      </c>
      <c r="D158" s="25">
        <v>12.161</v>
      </c>
      <c r="E158" s="25">
        <v>2.4609999999999999</v>
      </c>
      <c r="F158" s="19">
        <f t="shared" si="6"/>
        <v>10.218138228082964</v>
      </c>
      <c r="G158" s="20">
        <f t="shared" si="7"/>
        <v>3.2290956566620732E-3</v>
      </c>
      <c r="H158" s="20" cm="1">
        <f t="array" ref="H158">PRODUCT(G158:G193+1)^(1/3)-1</f>
        <v>0.32085382779223037</v>
      </c>
      <c r="I158" s="21">
        <f t="shared" si="8"/>
        <v>8.4308734192781838</v>
      </c>
    </row>
    <row r="159" spans="1:9" x14ac:dyDescent="0.3">
      <c r="A159" s="24">
        <v>41274</v>
      </c>
      <c r="B159" s="25">
        <v>147.41111000000001</v>
      </c>
      <c r="C159" s="25">
        <v>14.473000000000001</v>
      </c>
      <c r="D159" s="25">
        <v>12.101000000000001</v>
      </c>
      <c r="E159" s="25">
        <v>2.4609999999999999</v>
      </c>
      <c r="F159" s="19">
        <f t="shared" si="6"/>
        <v>10.185249084502177</v>
      </c>
      <c r="G159" s="20">
        <f t="shared" si="7"/>
        <v>1.2688165879527702E-2</v>
      </c>
      <c r="H159" s="20" cm="1">
        <f t="array" ref="H159">PRODUCT(G159:G194+1)^(1/3)-1</f>
        <v>0.31467175842221784</v>
      </c>
      <c r="I159" s="21">
        <f t="shared" si="8"/>
        <v>8.4095964572686039</v>
      </c>
    </row>
    <row r="160" spans="1:9" x14ac:dyDescent="0.3">
      <c r="A160" s="24">
        <v>41243</v>
      </c>
      <c r="B160" s="25">
        <v>144.146041</v>
      </c>
      <c r="C160" s="25">
        <v>14.332000000000001</v>
      </c>
      <c r="D160" s="25">
        <v>11.954000000000001</v>
      </c>
      <c r="E160" s="25">
        <v>2.4609999999999999</v>
      </c>
      <c r="F160" s="19">
        <f t="shared" si="6"/>
        <v>10.057636128942226</v>
      </c>
      <c r="G160" s="20">
        <f t="shared" si="7"/>
        <v>6.6418823200018462E-3</v>
      </c>
      <c r="H160" s="20" cm="1">
        <f t="array" ref="H160">PRODUCT(G160:G195+1)^(1/3)-1</f>
        <v>0.29564182963679109</v>
      </c>
      <c r="I160" s="21">
        <f t="shared" si="8"/>
        <v>8.388203052121213</v>
      </c>
    </row>
    <row r="161" spans="1:9" x14ac:dyDescent="0.3">
      <c r="A161" s="24">
        <v>41213</v>
      </c>
      <c r="B161" s="25">
        <v>142.325716</v>
      </c>
      <c r="C161" s="25">
        <v>14.244999999999999</v>
      </c>
      <c r="D161" s="25">
        <v>12.025</v>
      </c>
      <c r="E161" s="25">
        <v>2.4609999999999999</v>
      </c>
      <c r="F161" s="19">
        <f t="shared" si="6"/>
        <v>9.991275254475255</v>
      </c>
      <c r="G161" s="20">
        <f t="shared" si="7"/>
        <v>1.6979388413860264E-3</v>
      </c>
      <c r="H161" s="20" cm="1">
        <f t="array" ref="H161">PRODUCT(G161:G196+1)^(1/3)-1</f>
        <v>0.27539226941810213</v>
      </c>
      <c r="I161" s="21">
        <f t="shared" si="8"/>
        <v>8.3678441121599807</v>
      </c>
    </row>
    <row r="162" spans="1:9" x14ac:dyDescent="0.3">
      <c r="A162" s="24">
        <v>41182</v>
      </c>
      <c r="B162" s="25">
        <v>143.281386</v>
      </c>
      <c r="C162" s="25">
        <v>14.365</v>
      </c>
      <c r="D162" s="25">
        <v>12.002000000000001</v>
      </c>
      <c r="E162" s="25">
        <v>2.4609999999999999</v>
      </c>
      <c r="F162" s="19">
        <f t="shared" si="6"/>
        <v>9.9743394361294815</v>
      </c>
      <c r="G162" s="20">
        <f t="shared" si="7"/>
        <v>6.7962004337580595E-3</v>
      </c>
      <c r="H162" s="20" cm="1">
        <f t="array" ref="H162">PRODUCT(G162:G197+1)^(1/3)-1</f>
        <v>0.27609889645058749</v>
      </c>
      <c r="I162" s="21">
        <f t="shared" si="8"/>
        <v>8.3478017523783095</v>
      </c>
    </row>
    <row r="163" spans="1:9" x14ac:dyDescent="0.3">
      <c r="A163" s="24">
        <v>41152</v>
      </c>
      <c r="B163" s="25">
        <v>138.90617900000001</v>
      </c>
      <c r="C163" s="25">
        <v>14.021000000000001</v>
      </c>
      <c r="D163" s="25">
        <v>12.084</v>
      </c>
      <c r="E163" s="25">
        <v>2.4609999999999999</v>
      </c>
      <c r="F163" s="19">
        <f t="shared" si="6"/>
        <v>9.9070094144497531</v>
      </c>
      <c r="G163" s="20">
        <f t="shared" si="7"/>
        <v>-1.1701508562840912E-2</v>
      </c>
      <c r="H163" s="20" cm="1">
        <f t="array" ref="H163">PRODUCT(G163:G198+1)^(1/3)-1</f>
        <v>0.22408978766081522</v>
      </c>
      <c r="I163" s="21">
        <f t="shared" si="8"/>
        <v>8.3274700313314209</v>
      </c>
    </row>
    <row r="164" spans="1:9" x14ac:dyDescent="0.3">
      <c r="A164" s="24">
        <v>41121</v>
      </c>
      <c r="B164" s="25">
        <v>135.94967800000001</v>
      </c>
      <c r="C164" s="25">
        <v>13.561999999999999</v>
      </c>
      <c r="D164" s="25">
        <v>12.316000000000001</v>
      </c>
      <c r="E164" s="25">
        <v>2.4609999999999999</v>
      </c>
      <c r="F164" s="19">
        <f t="shared" si="6"/>
        <v>10.024308951482084</v>
      </c>
      <c r="G164" s="20">
        <f t="shared" si="7"/>
        <v>-1.4030717378343827E-4</v>
      </c>
      <c r="H164" s="20" cm="1">
        <f t="array" ref="H164">PRODUCT(G164:G199+1)^(1/3)-1</f>
        <v>0.20293541100938328</v>
      </c>
      <c r="I164" s="21">
        <f t="shared" si="8"/>
        <v>8.3074758619248588</v>
      </c>
    </row>
    <row r="165" spans="1:9" x14ac:dyDescent="0.3">
      <c r="A165" s="24">
        <v>41090</v>
      </c>
      <c r="B165" s="25">
        <v>134.11399800000001</v>
      </c>
      <c r="C165" s="25">
        <v>13.377000000000001</v>
      </c>
      <c r="D165" s="25">
        <v>12.351000000000001</v>
      </c>
      <c r="E165" s="25">
        <v>2.4609999999999999</v>
      </c>
      <c r="F165" s="19">
        <f t="shared" si="6"/>
        <v>10.025715631307468</v>
      </c>
      <c r="G165" s="20">
        <f t="shared" si="7"/>
        <v>2.0601265029576377E-2</v>
      </c>
      <c r="H165" s="20" cm="1">
        <f t="array" ref="H165">PRODUCT(G165:G200+1)^(1/3)-1</f>
        <v>0.19410340432593798</v>
      </c>
      <c r="I165" s="21">
        <f t="shared" si="8"/>
        <v>8.2854651812895135</v>
      </c>
    </row>
    <row r="166" spans="1:9" x14ac:dyDescent="0.3">
      <c r="A166" s="24">
        <v>41060</v>
      </c>
      <c r="B166" s="25">
        <v>127.80168399999999</v>
      </c>
      <c r="C166" s="25">
        <v>13.01</v>
      </c>
      <c r="D166" s="25">
        <v>12.242000000000001</v>
      </c>
      <c r="E166" s="25">
        <v>2.4609999999999999</v>
      </c>
      <c r="F166" s="19">
        <f t="shared" si="6"/>
        <v>9.8233423520368941</v>
      </c>
      <c r="G166" s="20">
        <f t="shared" si="7"/>
        <v>-6.6032561132290946E-3</v>
      </c>
      <c r="H166" s="20" cm="1">
        <f t="array" ref="H166">PRODUCT(G166:G201+1)^(1/3)-1</f>
        <v>0.14751489326918588</v>
      </c>
      <c r="I166" s="21">
        <f t="shared" si="8"/>
        <v>8.2628645260944733</v>
      </c>
    </row>
    <row r="167" spans="1:9" x14ac:dyDescent="0.3">
      <c r="A167" s="24">
        <v>41029</v>
      </c>
      <c r="B167" s="25">
        <v>140.389016</v>
      </c>
      <c r="C167" s="25">
        <v>14.196999999999999</v>
      </c>
      <c r="D167" s="25">
        <v>12.315</v>
      </c>
      <c r="E167" s="25">
        <v>2.4609999999999999</v>
      </c>
      <c r="F167" s="19">
        <f t="shared" si="6"/>
        <v>9.8886395717405087</v>
      </c>
      <c r="G167" s="20">
        <f t="shared" si="7"/>
        <v>-3.0341080064366643E-4</v>
      </c>
      <c r="H167" s="20" cm="1">
        <f t="array" ref="H167">PRODUCT(G167:G202+1)^(1/3)-1</f>
        <v>0.14206762316909671</v>
      </c>
      <c r="I167" s="21">
        <f t="shared" si="8"/>
        <v>8.2423319231215473</v>
      </c>
    </row>
    <row r="168" spans="1:9" x14ac:dyDescent="0.3">
      <c r="A168" s="24">
        <v>40999</v>
      </c>
      <c r="B168" s="25">
        <v>142.014287</v>
      </c>
      <c r="C168" s="25">
        <v>14.356999999999999</v>
      </c>
      <c r="D168" s="25">
        <v>12.413</v>
      </c>
      <c r="E168" s="25">
        <v>2.4609999999999999</v>
      </c>
      <c r="F168" s="19">
        <f t="shared" si="6"/>
        <v>9.8916408023960436</v>
      </c>
      <c r="G168" s="20">
        <f t="shared" si="7"/>
        <v>-7.5100864105366316E-3</v>
      </c>
      <c r="H168" s="20" cm="1">
        <f t="array" ref="H168">PRODUCT(G168:G203+1)^(1/3)-1</f>
        <v>0.13480882415334805</v>
      </c>
      <c r="I168" s="21">
        <f t="shared" si="8"/>
        <v>8.2203811544732943</v>
      </c>
    </row>
    <row r="169" spans="1:9" x14ac:dyDescent="0.3">
      <c r="A169" s="24">
        <v>40968</v>
      </c>
      <c r="B169" s="25">
        <v>141.07566600000001</v>
      </c>
      <c r="C169" s="25">
        <v>14.154999999999999</v>
      </c>
      <c r="D169" s="25">
        <v>12.465</v>
      </c>
      <c r="E169" s="25">
        <v>2.4609999999999999</v>
      </c>
      <c r="F169" s="19">
        <f t="shared" si="6"/>
        <v>9.9664900035323214</v>
      </c>
      <c r="G169" s="20">
        <f t="shared" si="7"/>
        <v>-4.2980851301134271E-3</v>
      </c>
      <c r="H169" s="20" cm="1">
        <f t="array" ref="H169">PRODUCT(G169:G204+1)^(1/3)-1</f>
        <v>7.8104066948893713E-2</v>
      </c>
      <c r="I169" s="21">
        <f t="shared" si="8"/>
        <v>8.1977965646364979</v>
      </c>
    </row>
    <row r="170" spans="1:9" x14ac:dyDescent="0.3">
      <c r="A170" s="24">
        <v>40939</v>
      </c>
      <c r="B170" s="25">
        <v>134.31763799999999</v>
      </c>
      <c r="C170" s="25">
        <v>13.419</v>
      </c>
      <c r="D170" s="25">
        <v>12.366</v>
      </c>
      <c r="E170" s="25">
        <v>2.4609999999999999</v>
      </c>
      <c r="F170" s="19">
        <f t="shared" si="6"/>
        <v>10.0095117370892</v>
      </c>
      <c r="G170" s="20">
        <f t="shared" si="7"/>
        <v>1.0357696119096094E-2</v>
      </c>
      <c r="H170" s="20" cm="1">
        <f t="array" ref="H170">PRODUCT(G170:G205+1)^(1/3)-1</f>
        <v>5.4758284708372296E-2</v>
      </c>
      <c r="I170" s="21">
        <f t="shared" si="8"/>
        <v>8.17356788739135</v>
      </c>
    </row>
    <row r="171" spans="1:9" x14ac:dyDescent="0.3">
      <c r="A171" s="24">
        <v>40908</v>
      </c>
      <c r="B171" s="25">
        <v>126.93709800000001</v>
      </c>
      <c r="C171" s="25">
        <v>12.813000000000001</v>
      </c>
      <c r="D171" s="25">
        <v>12.564</v>
      </c>
      <c r="E171" s="25">
        <v>2.4609999999999999</v>
      </c>
      <c r="F171" s="19">
        <f t="shared" si="6"/>
        <v>9.9068990868649021</v>
      </c>
      <c r="G171" s="20">
        <f t="shared" si="7"/>
        <v>-1.6894135404804778E-2</v>
      </c>
      <c r="H171" s="20" cm="1">
        <f t="array" ref="H171">PRODUCT(G171:G206+1)^(1/3)-1</f>
        <v>5.4682365834784363E-2</v>
      </c>
      <c r="I171" s="21">
        <f t="shared" si="8"/>
        <v>8.1480686672566591</v>
      </c>
    </row>
    <row r="172" spans="1:9" x14ac:dyDescent="0.3">
      <c r="A172" s="24">
        <v>40877</v>
      </c>
      <c r="B172" s="25">
        <v>127.193708</v>
      </c>
      <c r="C172" s="25">
        <v>12.622</v>
      </c>
      <c r="D172" s="25">
        <v>12.680999999999999</v>
      </c>
      <c r="E172" s="25">
        <v>2.4609999999999999</v>
      </c>
      <c r="F172" s="19">
        <f t="shared" si="6"/>
        <v>10.077143717318966</v>
      </c>
      <c r="G172" s="20">
        <f t="shared" si="7"/>
        <v>-6.5765161841454534E-3</v>
      </c>
      <c r="H172" s="20" cm="1">
        <f t="array" ref="H172">PRODUCT(G172:G207+1)^(1/3)-1</f>
        <v>6.141147800316582E-2</v>
      </c>
      <c r="I172" s="21">
        <f t="shared" si="8"/>
        <v>8.1232964078255581</v>
      </c>
    </row>
    <row r="173" spans="1:9" x14ac:dyDescent="0.3">
      <c r="A173" s="24">
        <v>40847</v>
      </c>
      <c r="B173" s="25">
        <v>131.11946900000001</v>
      </c>
      <c r="C173" s="25">
        <v>12.926</v>
      </c>
      <c r="D173" s="25">
        <v>12.683</v>
      </c>
      <c r="E173" s="25">
        <v>2.4609999999999999</v>
      </c>
      <c r="F173" s="19">
        <f t="shared" si="6"/>
        <v>10.14385494352468</v>
      </c>
      <c r="G173" s="20">
        <f t="shared" si="7"/>
        <v>2.1066788049449947E-2</v>
      </c>
      <c r="H173" s="20" cm="1">
        <f t="array" ref="H173">PRODUCT(G173:G208+1)^(1/3)-1</f>
        <v>5.6873369478450009E-2</v>
      </c>
      <c r="I173" s="21">
        <f t="shared" si="8"/>
        <v>8.0953843034042254</v>
      </c>
    </row>
    <row r="174" spans="1:9" x14ac:dyDescent="0.3">
      <c r="A174" s="24">
        <v>40816</v>
      </c>
      <c r="B174" s="25">
        <v>118.429956</v>
      </c>
      <c r="C174" s="25">
        <v>11.920999999999999</v>
      </c>
      <c r="D174" s="25">
        <v>12.673999999999999</v>
      </c>
      <c r="E174" s="25">
        <v>2.4609999999999999</v>
      </c>
      <c r="F174" s="19">
        <f t="shared" si="6"/>
        <v>9.9345655565808251</v>
      </c>
      <c r="G174" s="20">
        <f t="shared" si="7"/>
        <v>-2.4069953792591359E-2</v>
      </c>
      <c r="H174" s="20" cm="1">
        <f t="array" ref="H174">PRODUCT(G174:G209+1)^(1/3)-1</f>
        <v>3.3922962852314553E-2</v>
      </c>
      <c r="I174" s="21">
        <f t="shared" si="8"/>
        <v>8.0656963231126237</v>
      </c>
    </row>
    <row r="175" spans="1:9" x14ac:dyDescent="0.3">
      <c r="A175" s="24">
        <v>40786</v>
      </c>
      <c r="B175" s="25">
        <v>130.777164</v>
      </c>
      <c r="C175" s="25">
        <v>12.847</v>
      </c>
      <c r="D175" s="25">
        <v>12.628</v>
      </c>
      <c r="E175" s="25">
        <v>2.4609999999999999</v>
      </c>
      <c r="F175" s="19">
        <f t="shared" si="6"/>
        <v>10.179587763680237</v>
      </c>
      <c r="G175" s="20">
        <f t="shared" si="7"/>
        <v>2.110885968059284E-2</v>
      </c>
      <c r="H175" s="20" cm="1">
        <f t="array" ref="H175">PRODUCT(G175:G210+1)^(1/3)-1</f>
        <v>2.2439731405675678E-2</v>
      </c>
      <c r="I175" s="21">
        <f t="shared" si="8"/>
        <v>8.0382129520322092</v>
      </c>
    </row>
    <row r="176" spans="1:9" x14ac:dyDescent="0.3">
      <c r="A176" s="24">
        <v>40755</v>
      </c>
      <c r="B176" s="25">
        <v>141.083416</v>
      </c>
      <c r="C176" s="25">
        <v>14.151999999999999</v>
      </c>
      <c r="D176" s="25">
        <v>12.487</v>
      </c>
      <c r="E176" s="25">
        <v>2.4609999999999999</v>
      </c>
      <c r="F176" s="19">
        <f t="shared" si="6"/>
        <v>9.9691503674392319</v>
      </c>
      <c r="G176" s="20">
        <f t="shared" si="7"/>
        <v>-1.0857820451247613E-2</v>
      </c>
      <c r="H176" s="20" cm="1">
        <f t="array" ref="H176">PRODUCT(G176:G211+1)^(1/3)-1</f>
        <v>7.226462704993164E-3</v>
      </c>
      <c r="I176" s="21">
        <f t="shared" si="8"/>
        <v>8.0062521339479105</v>
      </c>
    </row>
    <row r="177" spans="1:9" x14ac:dyDescent="0.3">
      <c r="A177" s="24">
        <v>40724</v>
      </c>
      <c r="B177" s="25">
        <v>143.41821899999999</v>
      </c>
      <c r="C177" s="25">
        <v>14.23</v>
      </c>
      <c r="D177" s="25">
        <v>12.542</v>
      </c>
      <c r="E177" s="25">
        <v>2.4609999999999999</v>
      </c>
      <c r="F177" s="19">
        <f t="shared" si="6"/>
        <v>10.078581799016161</v>
      </c>
      <c r="G177" s="20">
        <f t="shared" si="7"/>
        <v>1.3637754938562008E-2</v>
      </c>
      <c r="H177" s="20" cm="1">
        <f t="array" ref="H177">PRODUCT(G177:G212+1)^(1/3)-1</f>
        <v>1.067731814853512E-2</v>
      </c>
      <c r="I177" s="21">
        <f t="shared" si="8"/>
        <v>7.9765112516222834</v>
      </c>
    </row>
    <row r="178" spans="1:9" x14ac:dyDescent="0.3">
      <c r="A178" s="24">
        <v>40694</v>
      </c>
      <c r="B178" s="25">
        <v>145.71439899999999</v>
      </c>
      <c r="C178" s="25">
        <v>14.654999999999999</v>
      </c>
      <c r="D178" s="25">
        <v>12.583</v>
      </c>
      <c r="E178" s="25">
        <v>2.4609999999999999</v>
      </c>
      <c r="F178" s="19">
        <f t="shared" si="6"/>
        <v>9.942981849198226</v>
      </c>
      <c r="G178" s="20">
        <f t="shared" si="7"/>
        <v>2.3111785064288126E-2</v>
      </c>
      <c r="H178" s="20" cm="1">
        <f t="array" ref="H178">PRODUCT(G178:G213+1)^(1/3)-1</f>
        <v>4.3988041360831787E-4</v>
      </c>
      <c r="I178" s="21">
        <f t="shared" si="8"/>
        <v>7.9441717047393015</v>
      </c>
    </row>
    <row r="179" spans="1:9" x14ac:dyDescent="0.3">
      <c r="A179" s="24">
        <v>40663</v>
      </c>
      <c r="B179" s="25">
        <v>148.91462799999999</v>
      </c>
      <c r="C179" s="25">
        <v>15.323</v>
      </c>
      <c r="D179" s="25">
        <v>12.428000000000001</v>
      </c>
      <c r="E179" s="25">
        <v>2.4609999999999999</v>
      </c>
      <c r="F179" s="19">
        <f t="shared" si="6"/>
        <v>9.7183729034784303</v>
      </c>
      <c r="G179" s="20">
        <f t="shared" si="7"/>
        <v>3.2352810809302968E-2</v>
      </c>
      <c r="H179" s="20" cm="1">
        <f t="array" ref="H179">PRODUCT(G179:G214+1)^(1/3)-1</f>
        <v>-6.3485610718850838E-3</v>
      </c>
      <c r="I179" s="21">
        <f t="shared" si="8"/>
        <v>7.9129402962321294</v>
      </c>
    </row>
    <row r="180" spans="1:9" x14ac:dyDescent="0.3">
      <c r="A180" s="24">
        <v>40633</v>
      </c>
      <c r="B180" s="25">
        <v>143.061666</v>
      </c>
      <c r="C180" s="25">
        <v>15.196999999999999</v>
      </c>
      <c r="D180" s="25">
        <v>12.375999999999999</v>
      </c>
      <c r="E180" s="25">
        <v>2.4609999999999999</v>
      </c>
      <c r="F180" s="19">
        <f t="shared" si="6"/>
        <v>9.4138096992827531</v>
      </c>
      <c r="G180" s="20">
        <f t="shared" si="7"/>
        <v>7.7748610019083397E-2</v>
      </c>
      <c r="H180" s="20" cm="1">
        <f t="array" ref="H180">PRODUCT(G180:G215+1)^(1/3)-1</f>
        <v>-1.8300409499145909E-2</v>
      </c>
      <c r="I180" s="21">
        <f t="shared" si="8"/>
        <v>7.8842826357996483</v>
      </c>
    </row>
    <row r="181" spans="1:9" x14ac:dyDescent="0.3">
      <c r="A181" s="24">
        <v>40602</v>
      </c>
      <c r="B181" s="25">
        <v>143.20538999999999</v>
      </c>
      <c r="C181" s="25">
        <v>16.395</v>
      </c>
      <c r="D181" s="25">
        <v>11.78</v>
      </c>
      <c r="E181" s="25">
        <v>2.4609999999999999</v>
      </c>
      <c r="F181" s="19">
        <f t="shared" si="6"/>
        <v>8.7346989935956074</v>
      </c>
      <c r="G181" s="20">
        <f t="shared" si="7"/>
        <v>1.2302792618485103E-2</v>
      </c>
      <c r="H181" s="20" cm="1">
        <f t="array" ref="H181">PRODUCT(G181:G216+1)^(1/3)-1</f>
        <v>-4.7404651080903859E-2</v>
      </c>
      <c r="I181" s="21">
        <f t="shared" si="8"/>
        <v>7.8596128444531468</v>
      </c>
    </row>
    <row r="182" spans="1:9" x14ac:dyDescent="0.3">
      <c r="A182" s="24">
        <v>40574</v>
      </c>
      <c r="B182" s="25">
        <v>139.15252599999999</v>
      </c>
      <c r="C182" s="25">
        <v>16.126999999999999</v>
      </c>
      <c r="D182" s="25">
        <v>11.781000000000001</v>
      </c>
      <c r="E182" s="25">
        <v>2.4609999999999999</v>
      </c>
      <c r="F182" s="19">
        <f t="shared" si="6"/>
        <v>8.6285438085198738</v>
      </c>
      <c r="G182" s="20">
        <f t="shared" si="7"/>
        <v>3.4120249169946604E-3</v>
      </c>
      <c r="H182" s="20" cm="1">
        <f t="array" ref="H182">PRODUCT(G182:G217+1)^(1/3)-1</f>
        <v>-4.7504754712188735E-2</v>
      </c>
      <c r="I182" s="21">
        <f t="shared" si="8"/>
        <v>7.845267169877042</v>
      </c>
    </row>
    <row r="183" spans="1:9" x14ac:dyDescent="0.3">
      <c r="A183" s="24">
        <v>40543</v>
      </c>
      <c r="B183" s="25">
        <v>137.00250399999999</v>
      </c>
      <c r="C183" s="25">
        <v>15.932</v>
      </c>
      <c r="D183" s="25">
        <v>11.792</v>
      </c>
      <c r="E183" s="25">
        <v>2.4609999999999999</v>
      </c>
      <c r="F183" s="19">
        <f t="shared" si="6"/>
        <v>8.5992031132312317</v>
      </c>
      <c r="G183" s="20">
        <f t="shared" si="7"/>
        <v>2.4455030778186337E-2</v>
      </c>
      <c r="H183" s="20" cm="1">
        <f t="array" ref="H183">PRODUCT(G183:G218+1)^(1/3)-1</f>
        <v>-4.5247772139167641E-2</v>
      </c>
      <c r="I183" s="21">
        <f t="shared" si="8"/>
        <v>7.8322125592329943</v>
      </c>
    </row>
    <row r="184" spans="1:9" x14ac:dyDescent="0.3">
      <c r="A184" s="24">
        <v>40512</v>
      </c>
      <c r="B184" s="25">
        <v>127.654877</v>
      </c>
      <c r="C184" s="25">
        <v>15.208</v>
      </c>
      <c r="D184" s="25">
        <v>11.757999999999999</v>
      </c>
      <c r="E184" s="25">
        <v>2.4609999999999999</v>
      </c>
      <c r="F184" s="19">
        <f t="shared" si="6"/>
        <v>8.3939293135191999</v>
      </c>
      <c r="G184" s="20">
        <f t="shared" si="7"/>
        <v>3.8185665006718272E-2</v>
      </c>
      <c r="H184" s="20" cm="1">
        <f t="array" ref="H184">PRODUCT(G184:G219+1)^(1/3)-1</f>
        <v>-5.4489076345764276E-2</v>
      </c>
      <c r="I184" s="21">
        <f t="shared" si="8"/>
        <v>7.8192127193347183</v>
      </c>
    </row>
    <row r="185" spans="1:9" x14ac:dyDescent="0.3">
      <c r="A185" s="24">
        <v>40482</v>
      </c>
      <c r="B185" s="25">
        <v>130.559663</v>
      </c>
      <c r="C185" s="25">
        <v>16.148</v>
      </c>
      <c r="D185" s="25">
        <v>11.311</v>
      </c>
      <c r="E185" s="25">
        <v>2.4609999999999999</v>
      </c>
      <c r="F185" s="19">
        <f t="shared" si="6"/>
        <v>8.0851909214763449</v>
      </c>
      <c r="G185" s="20">
        <f t="shared" si="7"/>
        <v>1.3682091322742229E-2</v>
      </c>
      <c r="H185" s="20" cm="1">
        <f t="array" ref="H185">PRODUCT(G185:G220+1)^(1/3)-1</f>
        <v>-6.5068624511154249E-2</v>
      </c>
      <c r="I185" s="21">
        <f t="shared" si="8"/>
        <v>7.8093038125384346</v>
      </c>
    </row>
    <row r="186" spans="1:9" x14ac:dyDescent="0.3">
      <c r="A186" s="24">
        <v>40451</v>
      </c>
      <c r="B186" s="25">
        <v>126.00582300000001</v>
      </c>
      <c r="C186" s="25">
        <v>15.798</v>
      </c>
      <c r="D186" s="25">
        <v>11.288</v>
      </c>
      <c r="E186" s="25">
        <v>2.4609999999999999</v>
      </c>
      <c r="F186" s="19">
        <f t="shared" si="6"/>
        <v>7.976061716672997</v>
      </c>
      <c r="G186" s="20">
        <f t="shared" si="7"/>
        <v>4.6217446875060242E-2</v>
      </c>
      <c r="H186" s="20" cm="1">
        <f t="array" ref="H186">PRODUCT(G186:G221+1)^(1/3)-1</f>
        <v>-6.4794410465917718E-2</v>
      </c>
      <c r="I186" s="21">
        <f t="shared" si="8"/>
        <v>7.8044636878202258</v>
      </c>
    </row>
    <row r="187" spans="1:9" x14ac:dyDescent="0.3">
      <c r="A187" s="24">
        <v>40421</v>
      </c>
      <c r="B187" s="25">
        <v>115.003713</v>
      </c>
      <c r="C187" s="25">
        <v>15.085000000000001</v>
      </c>
      <c r="D187" s="25">
        <v>11.113</v>
      </c>
      <c r="E187" s="25">
        <v>2.4609999999999999</v>
      </c>
      <c r="F187" s="19">
        <f t="shared" si="6"/>
        <v>7.6237131587669866</v>
      </c>
      <c r="G187" s="20">
        <f t="shared" si="7"/>
        <v>6.0490737370900716E-2</v>
      </c>
      <c r="H187" s="20" cm="1">
        <f t="array" ref="H187">PRODUCT(G187:G222+1)^(1/3)-1</f>
        <v>-6.2039671618255965E-2</v>
      </c>
      <c r="I187" s="21">
        <f t="shared" si="8"/>
        <v>7.8013994373049984</v>
      </c>
    </row>
    <row r="188" spans="1:9" x14ac:dyDescent="0.3">
      <c r="A188" s="24">
        <v>40390</v>
      </c>
      <c r="B188" s="25">
        <v>119.169634</v>
      </c>
      <c r="C188" s="25">
        <v>16.577000000000002</v>
      </c>
      <c r="D188" s="25">
        <v>10.590999999999999</v>
      </c>
      <c r="E188" s="25">
        <v>2.4609999999999999</v>
      </c>
      <c r="F188" s="19">
        <f t="shared" si="6"/>
        <v>7.1888540749230856</v>
      </c>
      <c r="G188" s="20">
        <f t="shared" si="7"/>
        <v>2.767765714947612E-2</v>
      </c>
      <c r="H188" s="20" cm="1">
        <f t="array" ref="H188">PRODUCT(G188:G223+1)^(1/3)-1</f>
        <v>-7.9389163926952944E-2</v>
      </c>
      <c r="I188" s="21">
        <f t="shared" si="8"/>
        <v>7.8046300969147806</v>
      </c>
    </row>
    <row r="189" spans="1:9" x14ac:dyDescent="0.3">
      <c r="A189" s="24">
        <v>40359</v>
      </c>
      <c r="B189" s="25">
        <v>110.203045</v>
      </c>
      <c r="C189" s="25">
        <v>15.754</v>
      </c>
      <c r="D189" s="25">
        <v>10.566000000000001</v>
      </c>
      <c r="E189" s="25">
        <v>2.4609999999999999</v>
      </c>
      <c r="F189" s="19">
        <f t="shared" si="6"/>
        <v>6.9952421607210873</v>
      </c>
      <c r="G189" s="20">
        <f t="shared" si="7"/>
        <v>5.3663809068653867E-2</v>
      </c>
      <c r="H189" s="20" cm="1">
        <f t="array" ref="H189">PRODUCT(G189:G224+1)^(1/3)-1</f>
        <v>-8.4675717354422142E-2</v>
      </c>
      <c r="I189" s="21">
        <f t="shared" si="8"/>
        <v>7.8160333565812934</v>
      </c>
    </row>
    <row r="190" spans="1:9" x14ac:dyDescent="0.3">
      <c r="A190" s="24">
        <v>40329</v>
      </c>
      <c r="B190" s="25">
        <v>113.705635</v>
      </c>
      <c r="C190" s="25">
        <v>17.126999999999999</v>
      </c>
      <c r="D190" s="25">
        <v>10.185</v>
      </c>
      <c r="E190" s="25">
        <v>2.4609999999999999</v>
      </c>
      <c r="F190" s="19">
        <f t="shared" si="6"/>
        <v>6.6389697553570395</v>
      </c>
      <c r="G190" s="20">
        <f t="shared" si="7"/>
        <v>7.3521606376848236E-2</v>
      </c>
      <c r="H190" s="20" cm="1">
        <f t="array" ref="H190">PRODUCT(G190:G225+1)^(1/3)-1</f>
        <v>-9.4613821360408301E-2</v>
      </c>
      <c r="I190" s="21">
        <f t="shared" si="8"/>
        <v>7.8315199829182767</v>
      </c>
    </row>
    <row r="191" spans="1:9" x14ac:dyDescent="0.3">
      <c r="A191" s="24">
        <v>40298</v>
      </c>
      <c r="B191" s="25">
        <v>125.615314</v>
      </c>
      <c r="C191" s="25">
        <v>20.312000000000001</v>
      </c>
      <c r="D191" s="25">
        <v>9.3770000000000007</v>
      </c>
      <c r="E191" s="25">
        <v>2.4609999999999999</v>
      </c>
      <c r="F191" s="19">
        <f t="shared" si="6"/>
        <v>6.1842907640803464</v>
      </c>
      <c r="G191" s="20">
        <f t="shared" si="7"/>
        <v>4.0795697651607732E-2</v>
      </c>
      <c r="H191" s="20" cm="1">
        <f t="array" ref="H191">PRODUCT(G191:G226+1)^(1/3)-1</f>
        <v>-0.11552249685263949</v>
      </c>
      <c r="I191" s="21">
        <f t="shared" si="8"/>
        <v>7.8544536411406085</v>
      </c>
    </row>
    <row r="192" spans="1:9" x14ac:dyDescent="0.3">
      <c r="A192" s="24">
        <v>40268</v>
      </c>
      <c r="B192" s="25">
        <v>125.403532</v>
      </c>
      <c r="C192" s="25">
        <v>21.105</v>
      </c>
      <c r="D192" s="25">
        <v>9.0820000000000007</v>
      </c>
      <c r="E192" s="25">
        <v>2.4609999999999999</v>
      </c>
      <c r="F192" s="19">
        <f t="shared" si="6"/>
        <v>5.9418873252783699</v>
      </c>
      <c r="G192" s="20">
        <f t="shared" si="7"/>
        <v>0.32318600307639778</v>
      </c>
      <c r="H192" s="20" cm="1">
        <f t="array" ref="H192">PRODUCT(G192:G227+1)^(1/3)-1</f>
        <v>-0.1216566505980784</v>
      </c>
      <c r="I192" s="21">
        <f t="shared" si="8"/>
        <v>7.8872019328476721</v>
      </c>
    </row>
    <row r="193" spans="1:9" x14ac:dyDescent="0.3">
      <c r="A193" s="24">
        <v>40237</v>
      </c>
      <c r="B193" s="25">
        <v>117.82413</v>
      </c>
      <c r="C193" s="25">
        <v>26.238</v>
      </c>
      <c r="D193" s="25">
        <v>6.9480000000000004</v>
      </c>
      <c r="E193" s="25">
        <v>2.4609999999999999</v>
      </c>
      <c r="F193" s="19">
        <f t="shared" si="6"/>
        <v>4.4905911273725128</v>
      </c>
      <c r="G193" s="20">
        <f t="shared" si="7"/>
        <v>1.2735462733702851E-2</v>
      </c>
      <c r="H193" s="20" cm="1">
        <f t="array" ref="H193">PRODUCT(G193:G228+1)^(1/3)-1</f>
        <v>-0.18925594993006889</v>
      </c>
      <c r="I193" s="21">
        <f t="shared" si="8"/>
        <v>7.9261082249990578</v>
      </c>
    </row>
    <row r="194" spans="1:9" x14ac:dyDescent="0.3">
      <c r="A194" s="24">
        <v>40209</v>
      </c>
      <c r="B194" s="25">
        <v>116.342455</v>
      </c>
      <c r="C194" s="25">
        <v>26.238</v>
      </c>
      <c r="D194" s="25">
        <v>6.9480000000000004</v>
      </c>
      <c r="E194" s="25">
        <v>2.4609999999999999</v>
      </c>
      <c r="F194" s="19">
        <f t="shared" ref="F194:F242" si="9">B194/C194</f>
        <v>4.4341205503468251</v>
      </c>
      <c r="G194" s="20">
        <f t="shared" ref="G194:G242" si="10">F194/F195-1</f>
        <v>-1.0791493044346345E-2</v>
      </c>
      <c r="H194" s="20" cm="1">
        <f t="array" ref="H194">PRODUCT(G194:G229+1)^(1/3)-1</f>
        <v>-0.19009846866168556</v>
      </c>
      <c r="I194" s="21">
        <f t="shared" si="8"/>
        <v>7.9962208188281707</v>
      </c>
    </row>
    <row r="195" spans="1:9" x14ac:dyDescent="0.3">
      <c r="A195" s="24">
        <v>40178</v>
      </c>
      <c r="B195" s="25">
        <v>121.596597</v>
      </c>
      <c r="C195" s="25">
        <v>27.126999999999999</v>
      </c>
      <c r="D195" s="25">
        <v>7.0110000000000001</v>
      </c>
      <c r="E195" s="25">
        <v>2.4609999999999999</v>
      </c>
      <c r="F195" s="19">
        <f t="shared" si="9"/>
        <v>4.4824933461127294</v>
      </c>
      <c r="G195" s="20">
        <f t="shared" si="10"/>
        <v>-3.0654460357094071E-2</v>
      </c>
      <c r="H195" s="20" cm="1">
        <f t="array" ref="H195">PRODUCT(G195:G230+1)^(1/3)-1</f>
        <v>-0.18783039214557418</v>
      </c>
      <c r="I195" s="21">
        <f t="shared" si="8"/>
        <v>8.0704312410881993</v>
      </c>
    </row>
    <row r="196" spans="1:9" x14ac:dyDescent="0.3">
      <c r="A196" s="24">
        <v>40147</v>
      </c>
      <c r="B196" s="25">
        <v>119.12985500000001</v>
      </c>
      <c r="C196" s="25">
        <v>25.762</v>
      </c>
      <c r="D196" s="25">
        <v>7.1379999999999999</v>
      </c>
      <c r="E196" s="25">
        <v>2.4609999999999999</v>
      </c>
      <c r="F196" s="19">
        <f t="shared" si="9"/>
        <v>4.6242471469606397</v>
      </c>
      <c r="G196" s="20">
        <f t="shared" si="10"/>
        <v>-3.9822655947108099E-2</v>
      </c>
      <c r="H196" s="20" cm="1">
        <f t="array" ref="H196">PRODUCT(G196:G231+1)^(1/3)-1</f>
        <v>-0.17858878223157593</v>
      </c>
      <c r="I196" s="21">
        <f t="shared" si="8"/>
        <v>8.1467703452366127</v>
      </c>
    </row>
    <row r="197" spans="1:9" x14ac:dyDescent="0.3">
      <c r="A197" s="24">
        <v>40117</v>
      </c>
      <c r="B197" s="25">
        <v>114.424162</v>
      </c>
      <c r="C197" s="25">
        <v>23.759</v>
      </c>
      <c r="D197" s="25">
        <v>7.585</v>
      </c>
      <c r="E197" s="25">
        <v>2.4609999999999999</v>
      </c>
      <c r="F197" s="19">
        <f t="shared" si="9"/>
        <v>4.8160344290584618</v>
      </c>
      <c r="G197" s="20">
        <f t="shared" si="10"/>
        <v>3.3638241550817405E-3</v>
      </c>
      <c r="H197" s="20" cm="1">
        <f t="array" ref="H197">PRODUCT(G197:G232+1)^(1/3)-1</f>
        <v>-0.15937394580561115</v>
      </c>
      <c r="I197" s="21">
        <f t="shared" si="8"/>
        <v>8.2233469365034839</v>
      </c>
    </row>
    <row r="198" spans="1:9" x14ac:dyDescent="0.3">
      <c r="A198" s="24">
        <v>40086</v>
      </c>
      <c r="B198" s="25">
        <v>116.21969900000001</v>
      </c>
      <c r="C198" s="25">
        <v>24.213000000000001</v>
      </c>
      <c r="D198" s="25">
        <v>7.609</v>
      </c>
      <c r="E198" s="25">
        <v>2.4609999999999999</v>
      </c>
      <c r="F198" s="19">
        <f t="shared" si="9"/>
        <v>4.7998884483541904</v>
      </c>
      <c r="G198" s="20">
        <f t="shared" si="10"/>
        <v>-0.11135481361211008</v>
      </c>
      <c r="H198" s="20" cm="1">
        <f t="array" ref="H198">PRODUCT(G198:G233+1)^(1/3)-1</f>
        <v>-0.15804567517206736</v>
      </c>
      <c r="I198" s="21">
        <f t="shared" si="8"/>
        <v>8.2990649922244835</v>
      </c>
    </row>
    <row r="199" spans="1:9" x14ac:dyDescent="0.3">
      <c r="A199" s="24">
        <v>40056</v>
      </c>
      <c r="B199" s="25">
        <v>111.122084</v>
      </c>
      <c r="C199" s="25">
        <v>20.573</v>
      </c>
      <c r="D199" s="25">
        <v>8.8510000000000009</v>
      </c>
      <c r="E199" s="25">
        <v>2.4609999999999999</v>
      </c>
      <c r="F199" s="19">
        <f t="shared" si="9"/>
        <v>5.4013553686871143</v>
      </c>
      <c r="G199" s="20">
        <f t="shared" si="10"/>
        <v>-6.2059612874768355E-2</v>
      </c>
      <c r="H199" s="20" cm="1">
        <f t="array" ref="H199">PRODUCT(G199:G234+1)^(1/3)-1</f>
        <v>-0.11529655166065433</v>
      </c>
      <c r="I199" s="21">
        <f t="shared" si="8"/>
        <v>8.3785917318579006</v>
      </c>
    </row>
    <row r="200" spans="1:9" x14ac:dyDescent="0.3">
      <c r="A200" s="24">
        <v>40025</v>
      </c>
      <c r="B200" s="25">
        <v>107.285337</v>
      </c>
      <c r="C200" s="25">
        <v>18.63</v>
      </c>
      <c r="D200" s="25">
        <v>9.5969999999999995</v>
      </c>
      <c r="E200" s="25">
        <v>2.4609999999999999</v>
      </c>
      <c r="F200" s="19">
        <f t="shared" si="9"/>
        <v>5.7587405797101452</v>
      </c>
      <c r="G200" s="20">
        <f t="shared" si="10"/>
        <v>-2.2002055163230505E-2</v>
      </c>
      <c r="H200" s="20" cm="1">
        <f t="array" ref="H200">PRODUCT(G200:G235+1)^(1/3)-1</f>
        <v>-9.0273353667702394E-2</v>
      </c>
      <c r="I200" s="21">
        <f t="shared" si="8"/>
        <v>8.44782978681536</v>
      </c>
    </row>
    <row r="201" spans="1:9" x14ac:dyDescent="0.3">
      <c r="A201" s="24">
        <v>39994</v>
      </c>
      <c r="B201" s="25">
        <v>98.605390999999997</v>
      </c>
      <c r="C201" s="25">
        <v>16.745999999999999</v>
      </c>
      <c r="D201" s="25">
        <v>9.99</v>
      </c>
      <c r="E201" s="25">
        <v>2.4609999999999999</v>
      </c>
      <c r="F201" s="19">
        <f t="shared" si="9"/>
        <v>5.8882951749671566</v>
      </c>
      <c r="G201" s="20">
        <f t="shared" si="10"/>
        <v>-9.4256376384638574E-2</v>
      </c>
      <c r="H201" s="20" cm="1">
        <f t="array" ref="H201">PRODUCT(G201:G236+1)^(1/3)-1</f>
        <v>-7.6074006162824559E-2</v>
      </c>
      <c r="I201" s="21">
        <f t="shared" si="8"/>
        <v>8.5118557203178646</v>
      </c>
    </row>
    <row r="202" spans="1:9" x14ac:dyDescent="0.3">
      <c r="A202" s="24">
        <v>39964</v>
      </c>
      <c r="B202" s="25">
        <v>99.160694000000007</v>
      </c>
      <c r="C202" s="25">
        <v>15.253</v>
      </c>
      <c r="D202" s="25">
        <v>10.866</v>
      </c>
      <c r="E202" s="25">
        <v>2.4609999999999999</v>
      </c>
      <c r="F202" s="19">
        <f t="shared" si="9"/>
        <v>6.5010616927817484</v>
      </c>
      <c r="G202" s="20">
        <f t="shared" si="10"/>
        <v>-2.0683213251468158E-2</v>
      </c>
      <c r="H202" s="20" cm="1">
        <f t="array" ref="H202">PRODUCT(G202:G237+1)^(1/3)-1</f>
        <v>-4.5076112619683584E-2</v>
      </c>
      <c r="I202" s="21">
        <f t="shared" si="8"/>
        <v>8.5758450019117856</v>
      </c>
    </row>
    <row r="203" spans="1:9" x14ac:dyDescent="0.3">
      <c r="A203" s="24">
        <v>39933</v>
      </c>
      <c r="B203" s="25">
        <v>90.175541999999993</v>
      </c>
      <c r="C203" s="25">
        <v>13.584</v>
      </c>
      <c r="D203" s="25">
        <v>11.515000000000001</v>
      </c>
      <c r="E203" s="25">
        <v>2.4609999999999999</v>
      </c>
      <c r="F203" s="19">
        <f t="shared" si="9"/>
        <v>6.6383643992932857</v>
      </c>
      <c r="G203" s="20">
        <f t="shared" si="10"/>
        <v>-1.9244248678393361E-2</v>
      </c>
      <c r="H203" s="20" cm="1">
        <f t="array" ref="H203">PRODUCT(G203:G238+1)^(1/3)-1</f>
        <v>-3.3433692740211129E-2</v>
      </c>
      <c r="I203" s="21">
        <f t="shared" si="8"/>
        <v>8.6277145846400369</v>
      </c>
    </row>
    <row r="204" spans="1:9" x14ac:dyDescent="0.3">
      <c r="A204" s="24">
        <v>39903</v>
      </c>
      <c r="B204" s="25">
        <v>80.654893000000001</v>
      </c>
      <c r="C204" s="25">
        <v>11.916</v>
      </c>
      <c r="D204" s="25">
        <v>11.920999999999999</v>
      </c>
      <c r="E204" s="25">
        <v>2.4609999999999999</v>
      </c>
      <c r="F204" s="19">
        <f t="shared" si="9"/>
        <v>6.7686214333669019</v>
      </c>
      <c r="G204" s="20">
        <f t="shared" si="10"/>
        <v>-0.14897945973329019</v>
      </c>
      <c r="H204" s="20" cm="1">
        <f t="array" ref="H204">PRODUCT(G204:G239+1)^(1/3)-1</f>
        <v>-1.8289342679316256E-2</v>
      </c>
      <c r="I204" s="21">
        <f t="shared" si="8"/>
        <v>8.6787235637514915</v>
      </c>
    </row>
    <row r="205" spans="1:9" x14ac:dyDescent="0.3">
      <c r="A205" s="24">
        <v>39872</v>
      </c>
      <c r="B205" s="25">
        <v>74.516666999999998</v>
      </c>
      <c r="C205" s="25">
        <v>9.3689999999999998</v>
      </c>
      <c r="D205" s="25">
        <v>13.308</v>
      </c>
      <c r="E205" s="25">
        <v>2.4609999999999999</v>
      </c>
      <c r="F205" s="19">
        <f t="shared" si="9"/>
        <v>7.9535347422350302</v>
      </c>
      <c r="G205" s="20">
        <f t="shared" si="10"/>
        <v>-6.7591712154724037E-2</v>
      </c>
      <c r="H205" s="20" cm="1">
        <f t="array" ref="H205">PRODUCT(G205:G240+1)^(1/3)-1</f>
        <v>5.2364028909286375E-2</v>
      </c>
      <c r="I205" s="21">
        <f t="shared" si="8"/>
        <v>8.7289894092879283</v>
      </c>
    </row>
    <row r="206" spans="1:9" x14ac:dyDescent="0.3">
      <c r="A206" s="24">
        <v>39844</v>
      </c>
      <c r="B206" s="25">
        <v>82.605475999999996</v>
      </c>
      <c r="C206" s="25">
        <v>9.6839999999999993</v>
      </c>
      <c r="D206" s="25">
        <v>13.95</v>
      </c>
      <c r="E206" s="25">
        <v>2.4609999999999999</v>
      </c>
      <c r="F206" s="19">
        <f t="shared" si="9"/>
        <v>8.5300987195373814</v>
      </c>
      <c r="G206" s="20">
        <f t="shared" si="10"/>
        <v>1.0139542732474638E-2</v>
      </c>
      <c r="H206" s="20" cm="1">
        <f t="array" ref="H206">PRODUCT(G206:G241+1)^(1/3)-1</f>
        <v>7.738093129515522E-2</v>
      </c>
      <c r="I206" s="21">
        <f t="shared" si="8"/>
        <v>8.749947643532602</v>
      </c>
    </row>
    <row r="207" spans="1:9" x14ac:dyDescent="0.3">
      <c r="A207" s="24">
        <v>39813</v>
      </c>
      <c r="B207" s="25">
        <v>90.322111000000007</v>
      </c>
      <c r="C207" s="25">
        <v>10.696</v>
      </c>
      <c r="D207" s="25">
        <v>13.464</v>
      </c>
      <c r="E207" s="25">
        <v>2.4609999999999999</v>
      </c>
      <c r="F207" s="19">
        <f t="shared" si="9"/>
        <v>8.4444755983545257</v>
      </c>
      <c r="G207" s="20">
        <f t="shared" si="10"/>
        <v>2.0434923269343486E-3</v>
      </c>
      <c r="H207" s="20" t="e" cm="1">
        <f t="array" ref="H207">PRODUCT(G207:G242+1)^(1/3)-1</f>
        <v>#REF!</v>
      </c>
      <c r="I207" s="21">
        <f t="shared" si="8"/>
        <v>8.7560545580880245</v>
      </c>
    </row>
    <row r="208" spans="1:9" x14ac:dyDescent="0.3">
      <c r="A208" s="24">
        <v>39782</v>
      </c>
      <c r="B208" s="25">
        <v>87.163094000000001</v>
      </c>
      <c r="C208" s="25">
        <v>10.343</v>
      </c>
      <c r="D208" s="25">
        <v>13.782</v>
      </c>
      <c r="E208" s="25">
        <v>2.4609999999999999</v>
      </c>
      <c r="F208" s="19">
        <f t="shared" si="9"/>
        <v>8.4272545683070685</v>
      </c>
      <c r="G208" s="20">
        <f t="shared" si="10"/>
        <v>-1.926438289057042E-2</v>
      </c>
      <c r="H208" s="20" t="e" cm="1">
        <f t="array" ref="H208">PRODUCT(G208:G242+1)^(1/3)-1</f>
        <v>#REF!</v>
      </c>
      <c r="I208" s="21">
        <f t="shared" si="8"/>
        <v>8.7649568140804099</v>
      </c>
    </row>
    <row r="209" spans="1:9" x14ac:dyDescent="0.3">
      <c r="A209" s="24">
        <v>39752</v>
      </c>
      <c r="B209" s="25">
        <v>93.291914000000006</v>
      </c>
      <c r="C209" s="25">
        <v>10.856999999999999</v>
      </c>
      <c r="D209" s="25">
        <v>13.891</v>
      </c>
      <c r="E209" s="25">
        <v>2.4609999999999999</v>
      </c>
      <c r="F209" s="19">
        <f t="shared" si="9"/>
        <v>8.5927893524914811</v>
      </c>
      <c r="G209" s="20">
        <f t="shared" si="10"/>
        <v>-4.4017751282936501E-2</v>
      </c>
      <c r="H209" s="20" t="e" cm="1">
        <f t="array" ref="H209">PRODUCT(G209:G242+1)^(1/3)-1</f>
        <v>#REF!</v>
      </c>
      <c r="I209" s="21">
        <f t="shared" si="8"/>
        <v>8.7748892330737451</v>
      </c>
    </row>
    <row r="210" spans="1:9" x14ac:dyDescent="0.3">
      <c r="A210" s="24">
        <v>39721</v>
      </c>
      <c r="B210" s="25">
        <v>116.346371</v>
      </c>
      <c r="C210" s="25">
        <v>12.944000000000001</v>
      </c>
      <c r="D210" s="25">
        <v>14.167999999999999</v>
      </c>
      <c r="E210" s="25">
        <v>2.4609999999999999</v>
      </c>
      <c r="F210" s="19">
        <f t="shared" si="9"/>
        <v>8.9884402812113713</v>
      </c>
      <c r="G210" s="20">
        <f t="shared" si="10"/>
        <v>-5.6227542412059739E-2</v>
      </c>
      <c r="H210" s="20" t="e" cm="1">
        <f t="array" ref="H210">PRODUCT(G210:G242+1)^(1/3)-1</f>
        <v>#REF!</v>
      </c>
      <c r="I210" s="21">
        <f t="shared" si="8"/>
        <v>8.780407411273206</v>
      </c>
    </row>
    <row r="211" spans="1:9" x14ac:dyDescent="0.3">
      <c r="A211" s="24">
        <v>39691</v>
      </c>
      <c r="B211" s="25">
        <v>132.96384499999999</v>
      </c>
      <c r="C211" s="25">
        <v>13.961</v>
      </c>
      <c r="D211" s="25">
        <v>14.802</v>
      </c>
      <c r="E211" s="25">
        <v>2.4609999999999999</v>
      </c>
      <c r="F211" s="19">
        <f t="shared" si="9"/>
        <v>9.5239484993911603</v>
      </c>
      <c r="G211" s="20">
        <f t="shared" si="10"/>
        <v>-2.3796694513947392E-2</v>
      </c>
      <c r="H211" s="20" t="e" cm="1">
        <f t="array" ref="H211">PRODUCT(G211:G242+1)^(1/3)-1</f>
        <v>#REF!</v>
      </c>
      <c r="I211" s="21">
        <f t="shared" si="8"/>
        <v>8.7739063840876383</v>
      </c>
    </row>
    <row r="212" spans="1:9" x14ac:dyDescent="0.3">
      <c r="A212" s="24">
        <v>39660</v>
      </c>
      <c r="B212" s="25">
        <v>135.89287999999999</v>
      </c>
      <c r="C212" s="25">
        <v>13.929</v>
      </c>
      <c r="D212" s="25">
        <v>14.811999999999999</v>
      </c>
      <c r="E212" s="25">
        <v>2.4609999999999999</v>
      </c>
      <c r="F212" s="19">
        <f t="shared" si="9"/>
        <v>9.7561117093832994</v>
      </c>
      <c r="G212" s="20">
        <f t="shared" si="10"/>
        <v>-6.5625779199762757E-4</v>
      </c>
      <c r="H212" s="20" t="e" cm="1">
        <f t="array" ref="H212">PRODUCT(G212:G242+1)^(1/3)-1</f>
        <v>#REF!</v>
      </c>
      <c r="I212" s="21">
        <f t="shared" ref="I212:I242" si="11">AVERAGE(F212:F306)</f>
        <v>8.7497114771423643</v>
      </c>
    </row>
    <row r="213" spans="1:9" x14ac:dyDescent="0.3">
      <c r="A213" s="24">
        <v>39629</v>
      </c>
      <c r="B213" s="25">
        <v>139.51615100000001</v>
      </c>
      <c r="C213" s="25">
        <v>14.291</v>
      </c>
      <c r="D213" s="25">
        <v>14.824</v>
      </c>
      <c r="E213" s="25">
        <v>2.4609999999999999</v>
      </c>
      <c r="F213" s="19">
        <f t="shared" si="9"/>
        <v>9.7625184381778745</v>
      </c>
      <c r="G213" s="20">
        <f t="shared" si="10"/>
        <v>-1.6853568053992074E-2</v>
      </c>
      <c r="H213" s="20" t="e" cm="1">
        <f t="array" ref="H213">PRODUCT(G213:G242+1)^(1/3)-1</f>
        <v>#REF!</v>
      </c>
      <c r="I213" s="21">
        <f t="shared" si="11"/>
        <v>8.7161648027343333</v>
      </c>
    </row>
    <row r="214" spans="1:9" x14ac:dyDescent="0.3">
      <c r="A214" s="24">
        <v>39599</v>
      </c>
      <c r="B214" s="25">
        <v>151.996554</v>
      </c>
      <c r="C214" s="25">
        <v>15.307</v>
      </c>
      <c r="D214" s="25">
        <v>14.997</v>
      </c>
      <c r="E214" s="25">
        <v>2.4609999999999999</v>
      </c>
      <c r="F214" s="19">
        <f t="shared" si="9"/>
        <v>9.9298722153263217</v>
      </c>
      <c r="G214" s="20">
        <f t="shared" si="10"/>
        <v>2.4259429221600293E-3</v>
      </c>
      <c r="H214" s="20" t="e" cm="1">
        <f t="array" ref="H214">PRODUCT(G214:G242+1)^(1/3)-1</f>
        <v>#REF!</v>
      </c>
      <c r="I214" s="21">
        <f t="shared" si="11"/>
        <v>8.6800836428914518</v>
      </c>
    </row>
    <row r="215" spans="1:9" x14ac:dyDescent="0.3">
      <c r="A215" s="24">
        <v>39568</v>
      </c>
      <c r="B215" s="25">
        <v>149.65744900000001</v>
      </c>
      <c r="C215" s="25">
        <v>15.108000000000001</v>
      </c>
      <c r="D215" s="25">
        <v>15.023999999999999</v>
      </c>
      <c r="E215" s="25">
        <v>2.4609999999999999</v>
      </c>
      <c r="F215" s="19">
        <f t="shared" si="9"/>
        <v>9.9058412099549908</v>
      </c>
      <c r="G215" s="20">
        <f t="shared" si="10"/>
        <v>-4.452979972900617E-3</v>
      </c>
      <c r="H215" s="20" t="e" cm="1">
        <f t="array" ref="H215">PRODUCT(G215:G242+1)^(1/3)-1</f>
        <v>#REF!</v>
      </c>
      <c r="I215" s="21">
        <f t="shared" si="11"/>
        <v>8.6354483367330648</v>
      </c>
    </row>
    <row r="216" spans="1:9" x14ac:dyDescent="0.3">
      <c r="A216" s="24">
        <v>39538</v>
      </c>
      <c r="B216" s="25">
        <v>141.74982299999999</v>
      </c>
      <c r="C216" s="25">
        <v>14.246</v>
      </c>
      <c r="D216" s="25">
        <v>15.055</v>
      </c>
      <c r="E216" s="25">
        <v>2.4609999999999999</v>
      </c>
      <c r="F216" s="19">
        <f t="shared" si="9"/>
        <v>9.9501490242875192</v>
      </c>
      <c r="G216" s="20">
        <f t="shared" si="10"/>
        <v>-1.5293029778484013E-2</v>
      </c>
      <c r="H216" s="20" t="e" cm="1">
        <f t="array" ref="H216">PRODUCT(G216:G242+1)^(1/3)-1</f>
        <v>#REF!</v>
      </c>
      <c r="I216" s="21">
        <f t="shared" si="11"/>
        <v>8.5883967488359545</v>
      </c>
    </row>
    <row r="217" spans="1:9" x14ac:dyDescent="0.3">
      <c r="A217" s="24">
        <v>39507</v>
      </c>
      <c r="B217" s="25">
        <v>143.860332</v>
      </c>
      <c r="C217" s="25">
        <v>14.237</v>
      </c>
      <c r="D217" s="25">
        <v>15.835000000000001</v>
      </c>
      <c r="E217" s="25">
        <v>2.4609999999999999</v>
      </c>
      <c r="F217" s="19">
        <f t="shared" si="9"/>
        <v>10.104680199480228</v>
      </c>
      <c r="G217" s="20">
        <f t="shared" si="10"/>
        <v>1.1983692161511517E-2</v>
      </c>
      <c r="H217" s="20" t="e" cm="1">
        <f t="array" ref="H217">PRODUCT(G217:G242+1)^(1/3)-1</f>
        <v>#REF!</v>
      </c>
      <c r="I217" s="21">
        <f t="shared" si="11"/>
        <v>8.5360216613185873</v>
      </c>
    </row>
    <row r="218" spans="1:9" x14ac:dyDescent="0.3">
      <c r="A218" s="24">
        <v>39478</v>
      </c>
      <c r="B218" s="25">
        <v>143.45482200000001</v>
      </c>
      <c r="C218" s="25">
        <v>14.367000000000001</v>
      </c>
      <c r="D218" s="25">
        <v>15.872999999999999</v>
      </c>
      <c r="E218" s="25">
        <v>2.4609999999999999</v>
      </c>
      <c r="F218" s="19">
        <f t="shared" si="9"/>
        <v>9.9850227604927966</v>
      </c>
      <c r="G218" s="20">
        <f t="shared" si="10"/>
        <v>1.0561836881594955E-2</v>
      </c>
      <c r="H218" s="20" t="e" cm="1">
        <f t="array" ref="H218">PRODUCT(G218:G242+1)^(1/3)-1</f>
        <v>#REF!</v>
      </c>
      <c r="I218" s="21">
        <f t="shared" si="11"/>
        <v>8.4732753197921209</v>
      </c>
    </row>
    <row r="219" spans="1:9" x14ac:dyDescent="0.3">
      <c r="A219" s="24">
        <v>39447</v>
      </c>
      <c r="B219" s="25">
        <v>156.25283300000001</v>
      </c>
      <c r="C219" s="25">
        <v>15.814</v>
      </c>
      <c r="D219" s="25">
        <v>15.89</v>
      </c>
      <c r="E219" s="25">
        <v>2.4609999999999999</v>
      </c>
      <c r="F219" s="19">
        <f t="shared" si="9"/>
        <v>9.8806647906917924</v>
      </c>
      <c r="G219" s="20">
        <f t="shared" si="10"/>
        <v>-5.005889287040155E-3</v>
      </c>
      <c r="H219" s="20" t="e" cm="1">
        <f t="array" ref="H219">PRODUCT(G219:G242+1)^(1/3)-1</f>
        <v>#REF!</v>
      </c>
      <c r="I219" s="21">
        <f t="shared" si="11"/>
        <v>8.4102858430962595</v>
      </c>
    </row>
    <row r="220" spans="1:9" x14ac:dyDescent="0.3">
      <c r="A220" s="24">
        <v>39416</v>
      </c>
      <c r="B220" s="25">
        <v>158.00219899999999</v>
      </c>
      <c r="C220" s="25">
        <v>15.911</v>
      </c>
      <c r="D220" s="25">
        <v>16.077000000000002</v>
      </c>
      <c r="E220" s="25">
        <v>2.4609999999999999</v>
      </c>
      <c r="F220" s="19">
        <f t="shared" si="9"/>
        <v>9.9303751492678014</v>
      </c>
      <c r="G220" s="20">
        <f t="shared" si="10"/>
        <v>3.724626178897239E-3</v>
      </c>
      <c r="H220" s="20" t="e" cm="1">
        <f t="array" ref="H220">PRODUCT(G220:G242+1)^(1/3)-1</f>
        <v>#REF!</v>
      </c>
      <c r="I220" s="21">
        <f t="shared" si="11"/>
        <v>8.3463563236355824</v>
      </c>
    </row>
    <row r="221" spans="1:9" x14ac:dyDescent="0.3">
      <c r="A221" s="24">
        <v>39386</v>
      </c>
      <c r="B221" s="25">
        <v>165.31091699999999</v>
      </c>
      <c r="C221" s="25">
        <v>16.709</v>
      </c>
      <c r="D221" s="25">
        <v>16.113</v>
      </c>
      <c r="E221" s="25">
        <v>2.4609999999999999</v>
      </c>
      <c r="F221" s="19">
        <f t="shared" si="9"/>
        <v>9.893525465318092</v>
      </c>
      <c r="G221" s="20">
        <f t="shared" si="10"/>
        <v>1.4574287506653905E-2</v>
      </c>
      <c r="H221" s="20" t="e" cm="1">
        <f t="array" ref="H221">PRODUCT(G221:G242+1)^(1/3)-1</f>
        <v>#REF!</v>
      </c>
      <c r="I221" s="21">
        <f t="shared" si="11"/>
        <v>8.2743554679250284</v>
      </c>
    </row>
    <row r="222" spans="1:9" x14ac:dyDescent="0.3">
      <c r="A222" s="24">
        <v>39355</v>
      </c>
      <c r="B222" s="25">
        <v>159.10393500000001</v>
      </c>
      <c r="C222" s="25">
        <v>16.315999999999999</v>
      </c>
      <c r="D222" s="25">
        <v>16.100000000000001</v>
      </c>
      <c r="E222" s="25">
        <v>2.4609999999999999</v>
      </c>
      <c r="F222" s="19">
        <f t="shared" si="9"/>
        <v>9.7514056754106413</v>
      </c>
      <c r="G222" s="20">
        <f t="shared" si="10"/>
        <v>5.5489911412407222E-2</v>
      </c>
      <c r="H222" s="20" t="e" cm="1">
        <f t="array" ref="H222">PRODUCT(G222:G242+1)^(1/3)-1</f>
        <v>#REF!</v>
      </c>
      <c r="I222" s="21">
        <f t="shared" si="11"/>
        <v>8.1972521347158338</v>
      </c>
    </row>
    <row r="223" spans="1:9" x14ac:dyDescent="0.3">
      <c r="A223" s="24">
        <v>39325</v>
      </c>
      <c r="B223" s="25">
        <v>150.99810299999999</v>
      </c>
      <c r="C223" s="25">
        <v>16.344000000000001</v>
      </c>
      <c r="D223" s="25">
        <v>15.821999999999999</v>
      </c>
      <c r="E223" s="25">
        <v>2.4609999999999999</v>
      </c>
      <c r="F223" s="19">
        <f t="shared" si="9"/>
        <v>9.2387483480176193</v>
      </c>
      <c r="G223" s="20">
        <f t="shared" si="10"/>
        <v>2.724709171712858E-3</v>
      </c>
      <c r="H223" s="20" t="e" cm="1">
        <f t="array" ref="H223">PRODUCT(G223:G242+1)^(1/3)-1</f>
        <v>#REF!</v>
      </c>
      <c r="I223" s="21">
        <f t="shared" si="11"/>
        <v>8.119544457681096</v>
      </c>
    </row>
    <row r="224" spans="1:9" x14ac:dyDescent="0.3">
      <c r="A224" s="24">
        <v>39294</v>
      </c>
      <c r="B224" s="25">
        <v>151.417023</v>
      </c>
      <c r="C224" s="25">
        <v>16.434000000000001</v>
      </c>
      <c r="D224" s="25">
        <v>15.805999999999999</v>
      </c>
      <c r="E224" s="25">
        <v>2.4609999999999999</v>
      </c>
      <c r="F224" s="19">
        <f t="shared" si="9"/>
        <v>9.2136438481197516</v>
      </c>
      <c r="G224" s="20">
        <f t="shared" si="10"/>
        <v>1.0074992501097446E-2</v>
      </c>
      <c r="H224" s="20" t="e" cm="1">
        <f t="array" ref="H224">PRODUCT(G224:G242+1)^(1/3)-1</f>
        <v>#REF!</v>
      </c>
      <c r="I224" s="21">
        <f t="shared" si="11"/>
        <v>8.0606389897686466</v>
      </c>
    </row>
    <row r="225" spans="1:9" x14ac:dyDescent="0.3">
      <c r="A225" s="24">
        <v>39263</v>
      </c>
      <c r="B225" s="25">
        <v>153.76521099999999</v>
      </c>
      <c r="C225" s="25">
        <v>16.856999999999999</v>
      </c>
      <c r="D225" s="25">
        <v>15.942</v>
      </c>
      <c r="E225" s="25">
        <v>2.4609999999999999</v>
      </c>
      <c r="F225" s="19">
        <f t="shared" si="9"/>
        <v>9.121742362223408</v>
      </c>
      <c r="G225" s="20">
        <f t="shared" si="10"/>
        <v>1.9714729777403628E-2</v>
      </c>
      <c r="H225" s="20" t="e" cm="1">
        <f t="array" ref="H225">PRODUCT(G225:G242+1)^(1/3)-1</f>
        <v>#REF!</v>
      </c>
      <c r="I225" s="21">
        <f t="shared" si="11"/>
        <v>7.9965831643046972</v>
      </c>
    </row>
    <row r="226" spans="1:9" x14ac:dyDescent="0.3">
      <c r="A226" s="24">
        <v>39233</v>
      </c>
      <c r="B226" s="25">
        <v>154.21846300000001</v>
      </c>
      <c r="C226" s="25">
        <v>17.239999999999998</v>
      </c>
      <c r="D226" s="25">
        <v>15.928000000000001</v>
      </c>
      <c r="E226" s="25">
        <v>2.4609999999999999</v>
      </c>
      <c r="F226" s="19">
        <f t="shared" si="9"/>
        <v>8.9453864849187958</v>
      </c>
      <c r="G226" s="20">
        <f t="shared" si="10"/>
        <v>8.5135534012015235E-4</v>
      </c>
      <c r="H226" s="20" t="e" cm="1">
        <f t="array" ref="H226">PRODUCT(G226:G242+1)^(1/3)-1</f>
        <v>#REF!</v>
      </c>
      <c r="I226" s="21">
        <f t="shared" si="11"/>
        <v>7.9303973291330081</v>
      </c>
    </row>
    <row r="227" spans="1:9" x14ac:dyDescent="0.3">
      <c r="A227" s="24">
        <v>39202</v>
      </c>
      <c r="B227" s="25">
        <v>149.75245799999999</v>
      </c>
      <c r="C227" s="25">
        <v>16.754999999999999</v>
      </c>
      <c r="D227" s="25">
        <v>15.986000000000001</v>
      </c>
      <c r="E227" s="25">
        <v>2.4609999999999999</v>
      </c>
      <c r="F227" s="19">
        <f t="shared" si="9"/>
        <v>8.9377772605192476</v>
      </c>
      <c r="G227" s="20">
        <f t="shared" si="10"/>
        <v>1.9290712514358654E-2</v>
      </c>
      <c r="H227" s="20" t="e" cm="1">
        <f t="array" ref="H227">PRODUCT(G227:G242+1)^(1/3)-1</f>
        <v>#REF!</v>
      </c>
      <c r="I227" s="21">
        <f t="shared" si="11"/>
        <v>7.8669605068963957</v>
      </c>
    </row>
    <row r="228" spans="1:9" x14ac:dyDescent="0.3">
      <c r="A228" s="24">
        <v>39172</v>
      </c>
      <c r="B228" s="25">
        <v>143.40208100000001</v>
      </c>
      <c r="C228" s="25">
        <v>16.353999999999999</v>
      </c>
      <c r="D228" s="25">
        <v>15.968</v>
      </c>
      <c r="E228" s="25">
        <v>2.4609999999999999</v>
      </c>
      <c r="F228" s="19">
        <f t="shared" si="9"/>
        <v>8.7686242509477808</v>
      </c>
      <c r="G228" s="20">
        <f t="shared" si="10"/>
        <v>4.0589062469241322E-2</v>
      </c>
      <c r="H228" s="20" t="e" cm="1">
        <f t="array" ref="H228">PRODUCT(G228:G242+1)^(1/3)-1</f>
        <v>#REF!</v>
      </c>
      <c r="I228" s="21">
        <f t="shared" si="11"/>
        <v>7.7955727233215386</v>
      </c>
    </row>
    <row r="229" spans="1:9" x14ac:dyDescent="0.3">
      <c r="A229" s="24">
        <v>39141</v>
      </c>
      <c r="B229" s="25">
        <v>140.58091099999999</v>
      </c>
      <c r="C229" s="25">
        <v>16.683</v>
      </c>
      <c r="D229" s="25">
        <v>15.837</v>
      </c>
      <c r="E229" s="25">
        <v>2.4609999999999999</v>
      </c>
      <c r="F229" s="19">
        <f t="shared" si="9"/>
        <v>8.4265965953365694</v>
      </c>
      <c r="G229" s="20">
        <f t="shared" si="10"/>
        <v>9.5814628413268821E-3</v>
      </c>
      <c r="H229" s="20" t="e" cm="1">
        <f t="array" ref="H229">PRODUCT(G229:G242+1)^(1/3)-1</f>
        <v>#REF!</v>
      </c>
      <c r="I229" s="21">
        <f t="shared" si="11"/>
        <v>7.7260690427768077</v>
      </c>
    </row>
    <row r="230" spans="1:9" x14ac:dyDescent="0.3">
      <c r="A230" s="24">
        <v>39113</v>
      </c>
      <c r="B230" s="25">
        <v>141.32503299999999</v>
      </c>
      <c r="C230" s="25">
        <v>16.931999999999999</v>
      </c>
      <c r="D230" s="25">
        <v>15.821</v>
      </c>
      <c r="E230" s="25">
        <v>2.4609999999999999</v>
      </c>
      <c r="F230" s="19">
        <f t="shared" si="9"/>
        <v>8.3466237302149775</v>
      </c>
      <c r="G230" s="20">
        <f t="shared" si="10"/>
        <v>-2.4575558201733738E-3</v>
      </c>
      <c r="H230" s="20" t="e" cm="1">
        <f t="array" ref="H230">PRODUCT(G230:G242+1)^(1/3)-1</f>
        <v>#REF!</v>
      </c>
      <c r="I230" s="21">
        <f t="shared" si="11"/>
        <v>7.6721823079645182</v>
      </c>
    </row>
    <row r="231" spans="1:9" x14ac:dyDescent="0.3">
      <c r="A231" s="24">
        <v>39082</v>
      </c>
      <c r="B231" s="25">
        <v>139.932828</v>
      </c>
      <c r="C231" s="25">
        <v>16.724</v>
      </c>
      <c r="D231" s="25">
        <v>15.872</v>
      </c>
      <c r="E231" s="25">
        <v>2.4609999999999999</v>
      </c>
      <c r="F231" s="19">
        <f t="shared" si="9"/>
        <v>8.3671865582396556</v>
      </c>
      <c r="G231" s="20">
        <f t="shared" si="10"/>
        <v>2.8138046405137285E-3</v>
      </c>
      <c r="H231" s="20" t="e" cm="1">
        <f t="array" ref="H231">PRODUCT(G231:G242+1)^(1/3)-1</f>
        <v>#REF!</v>
      </c>
      <c r="I231" s="21">
        <f t="shared" si="11"/>
        <v>7.6159788561103134</v>
      </c>
    </row>
    <row r="232" spans="1:9" x14ac:dyDescent="0.3">
      <c r="A232" s="24">
        <v>39051</v>
      </c>
      <c r="B232" s="25">
        <v>136.878546</v>
      </c>
      <c r="C232" s="25">
        <v>16.405000000000001</v>
      </c>
      <c r="D232" s="25">
        <v>15.920999999999999</v>
      </c>
      <c r="E232" s="25">
        <v>2.4609999999999999</v>
      </c>
      <c r="F232" s="19">
        <f t="shared" si="9"/>
        <v>8.3437089911612308</v>
      </c>
      <c r="G232" s="20">
        <f t="shared" si="10"/>
        <v>2.9148640060767228E-2</v>
      </c>
      <c r="H232" s="20" t="e" cm="1">
        <f t="array" ref="H232">PRODUCT(G232:G242+1)^(1/3)-1</f>
        <v>#REF!</v>
      </c>
      <c r="I232" s="21">
        <f t="shared" si="11"/>
        <v>7.5476872468258298</v>
      </c>
    </row>
    <row r="233" spans="1:9" x14ac:dyDescent="0.3">
      <c r="A233" s="24">
        <v>39021</v>
      </c>
      <c r="B233" s="25">
        <v>133.11523</v>
      </c>
      <c r="C233" s="25">
        <v>16.419</v>
      </c>
      <c r="D233" s="25">
        <v>15.881</v>
      </c>
      <c r="E233" s="25">
        <v>2.4609999999999999</v>
      </c>
      <c r="F233" s="19">
        <f t="shared" si="9"/>
        <v>8.107389609598636</v>
      </c>
      <c r="G233" s="20">
        <f t="shared" si="10"/>
        <v>8.1275796722493077E-3</v>
      </c>
      <c r="H233" s="20" t="e" cm="1">
        <f t="array" ref="H233">PRODUCT(G233:G243+1)^(1/3)-1</f>
        <v>#REF!</v>
      </c>
      <c r="I233" s="21">
        <f t="shared" si="11"/>
        <v>7.4680850723922889</v>
      </c>
    </row>
    <row r="234" spans="1:9" x14ac:dyDescent="0.3">
      <c r="A234" s="24">
        <v>38990</v>
      </c>
      <c r="B234" s="25">
        <v>128.302505</v>
      </c>
      <c r="C234" s="25">
        <v>15.954000000000001</v>
      </c>
      <c r="D234" s="25">
        <v>15.881</v>
      </c>
      <c r="E234" s="25">
        <v>2.4609999999999999</v>
      </c>
      <c r="F234" s="19">
        <f t="shared" si="9"/>
        <v>8.0420273912498423</v>
      </c>
      <c r="G234" s="20">
        <f t="shared" si="10"/>
        <v>3.099356960071864E-2</v>
      </c>
      <c r="H234" s="20" t="e" cm="1">
        <f t="array" ref="H234">PRODUCT(G234:G244+1)^(1/3)-1</f>
        <v>#REF!</v>
      </c>
      <c r="I234" s="21">
        <f t="shared" si="11"/>
        <v>7.3970512349249162</v>
      </c>
    </row>
    <row r="235" spans="1:9" x14ac:dyDescent="0.3">
      <c r="A235" s="24">
        <v>38960</v>
      </c>
      <c r="B235" s="25">
        <v>126.82457700000001</v>
      </c>
      <c r="C235" s="25">
        <v>16.259</v>
      </c>
      <c r="D235" s="25">
        <v>15.538</v>
      </c>
      <c r="E235" s="25">
        <v>2.4609999999999999</v>
      </c>
      <c r="F235" s="19">
        <f t="shared" si="9"/>
        <v>7.8002692047481395</v>
      </c>
      <c r="G235" s="20">
        <f t="shared" si="10"/>
        <v>1.9799567316605149E-2</v>
      </c>
      <c r="H235" s="20" t="e" cm="1">
        <f t="array" ref="H235">PRODUCT(G235:G245+1)^(1/3)-1</f>
        <v>#REF!</v>
      </c>
      <c r="I235" s="21">
        <f t="shared" si="11"/>
        <v>7.3164292153843</v>
      </c>
    </row>
    <row r="236" spans="1:9" x14ac:dyDescent="0.3">
      <c r="A236" s="24">
        <v>38929</v>
      </c>
      <c r="B236" s="25">
        <v>123.620322</v>
      </c>
      <c r="C236" s="25">
        <v>16.161999999999999</v>
      </c>
      <c r="D236" s="25">
        <v>15.316000000000001</v>
      </c>
      <c r="E236" s="25">
        <v>2.4609999999999999</v>
      </c>
      <c r="F236" s="19">
        <f t="shared" si="9"/>
        <v>7.6488257641381026</v>
      </c>
      <c r="G236" s="20">
        <f t="shared" si="10"/>
        <v>2.4511299574412115E-2</v>
      </c>
      <c r="H236" s="20" t="e" cm="1">
        <f t="array" ref="H236">PRODUCT(G236:G246+1)^(1/3)-1</f>
        <v>#REF!</v>
      </c>
      <c r="I236" s="21">
        <f t="shared" si="11"/>
        <v>7.2473092169037514</v>
      </c>
    </row>
    <row r="237" spans="1:9" x14ac:dyDescent="0.3">
      <c r="A237" s="24">
        <v>38898</v>
      </c>
      <c r="B237" s="25">
        <v>122.835278</v>
      </c>
      <c r="C237" s="25">
        <v>16.452999999999999</v>
      </c>
      <c r="D237" s="25">
        <v>15.177</v>
      </c>
      <c r="E237" s="25">
        <v>2.4609999999999999</v>
      </c>
      <c r="F237" s="19">
        <f t="shared" si="9"/>
        <v>7.4658286026864404</v>
      </c>
      <c r="G237" s="20">
        <f t="shared" si="10"/>
        <v>0</v>
      </c>
      <c r="H237" s="20" t="e" cm="1">
        <f t="array" ref="H237">PRODUCT(G237:G247+1)^(1/3)-1</f>
        <v>#REF!</v>
      </c>
      <c r="I237" s="21">
        <f t="shared" si="11"/>
        <v>7.1803897923646929</v>
      </c>
    </row>
    <row r="238" spans="1:9" x14ac:dyDescent="0.3">
      <c r="A238" s="24">
        <v>38868</v>
      </c>
      <c r="B238" s="25">
        <v>122.835278</v>
      </c>
      <c r="C238" s="25">
        <v>16.452999999999999</v>
      </c>
      <c r="D238" s="25">
        <v>15.177</v>
      </c>
      <c r="E238" s="25">
        <v>2.4609999999999999</v>
      </c>
      <c r="F238" s="19">
        <f t="shared" si="9"/>
        <v>7.4658286026864404</v>
      </c>
      <c r="G238" s="20">
        <f t="shared" si="10"/>
        <v>1.5574725251444654E-2</v>
      </c>
      <c r="H238" s="20" t="e" cm="1">
        <f t="array" ref="H238">PRODUCT(G238:G248+1)^(1/3)-1</f>
        <v>#REF!</v>
      </c>
      <c r="I238" s="21">
        <f t="shared" si="11"/>
        <v>7.1233020303003425</v>
      </c>
    </row>
    <row r="239" spans="1:9" x14ac:dyDescent="0.3">
      <c r="A239" s="24">
        <v>38837</v>
      </c>
      <c r="B239" s="25">
        <v>127.876448</v>
      </c>
      <c r="C239" s="25">
        <v>17.395</v>
      </c>
      <c r="D239" s="25">
        <v>15.188000000000001</v>
      </c>
      <c r="E239" s="25">
        <v>2.4609999999999999</v>
      </c>
      <c r="F239" s="19">
        <f t="shared" si="9"/>
        <v>7.3513336016096575</v>
      </c>
      <c r="G239" s="20">
        <f t="shared" si="10"/>
        <v>2.7581846986224345E-2</v>
      </c>
      <c r="H239" s="20" t="e" cm="1">
        <f t="array" ref="H239">PRODUCT(G239:G249+1)^(1/3)-1</f>
        <v>#REF!</v>
      </c>
      <c r="I239" s="21">
        <f t="shared" si="11"/>
        <v>7.0376703872038178</v>
      </c>
    </row>
    <row r="240" spans="1:9" x14ac:dyDescent="0.3">
      <c r="A240" s="24">
        <v>38807</v>
      </c>
      <c r="B240" s="25">
        <v>123.757266</v>
      </c>
      <c r="C240" s="25">
        <v>17.298999999999999</v>
      </c>
      <c r="D240" s="25">
        <v>15.249000000000001</v>
      </c>
      <c r="E240" s="25">
        <v>2.4609999999999999</v>
      </c>
      <c r="F240" s="19">
        <f t="shared" si="9"/>
        <v>7.1540127174981212</v>
      </c>
      <c r="G240" s="20">
        <f t="shared" si="10"/>
        <v>4.8304645186402206E-2</v>
      </c>
      <c r="H240" s="20" t="e" cm="1">
        <f t="array" ref="H240">PRODUCT(G240:G250+1)^(1/3)-1</f>
        <v>#REF!</v>
      </c>
      <c r="I240" s="21">
        <f t="shared" si="11"/>
        <v>6.9331159824018727</v>
      </c>
    </row>
    <row r="241" spans="1:9" x14ac:dyDescent="0.3">
      <c r="A241" s="24">
        <v>38776</v>
      </c>
      <c r="B241" s="25">
        <v>121.207533</v>
      </c>
      <c r="C241" s="25">
        <v>17.760999999999999</v>
      </c>
      <c r="D241" s="25">
        <v>15.035</v>
      </c>
      <c r="E241" s="25">
        <v>2.4609999999999999</v>
      </c>
      <c r="F241" s="19">
        <f t="shared" si="9"/>
        <v>6.824364224987332</v>
      </c>
      <c r="G241" s="20">
        <f t="shared" si="10"/>
        <v>4.9746880097001345E-4</v>
      </c>
      <c r="H241" s="20" t="e" cm="1">
        <f t="array" ref="H241">PRODUCT(G241:G251+1)^(1/3)-1</f>
        <v>#REF!</v>
      </c>
      <c r="I241" s="21">
        <f t="shared" si="11"/>
        <v>6.8226676148537475</v>
      </c>
    </row>
    <row r="242" spans="1:9" x14ac:dyDescent="0.3">
      <c r="A242" s="24">
        <v>38748</v>
      </c>
      <c r="B242" s="25">
        <v>121.386</v>
      </c>
      <c r="C242" s="25">
        <v>17.795999999999999</v>
      </c>
      <c r="D242" s="25">
        <v>15.016999999999999</v>
      </c>
      <c r="E242" s="25">
        <v>2.4609999999999999</v>
      </c>
      <c r="F242" s="19">
        <f t="shared" si="9"/>
        <v>6.8209710047201622</v>
      </c>
      <c r="G242" s="20" t="e">
        <f>F242/#REF!-1</f>
        <v>#REF!</v>
      </c>
      <c r="H242" s="20" t="e" cm="1">
        <f t="array" ref="H242">PRODUCT(G242:G252+1)^(1/3)-1</f>
        <v>#REF!</v>
      </c>
      <c r="I242" s="21">
        <f t="shared" si="11"/>
        <v>6.8209710047201622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Nifty 500 TRI</vt:lpstr>
      <vt:lpstr>MSCI World</vt:lpstr>
      <vt:lpstr>MSCI ACWI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Vaibhav singh</dc:creator>
  <cp:lastModifiedBy>Vaibhav Singh</cp:lastModifiedBy>
  <dcterms:created xsi:type="dcterms:W3CDTF">2015-06-05T18:17:20Z</dcterms:created>
  <dcterms:modified xsi:type="dcterms:W3CDTF">2026-02-27T07:53:06Z</dcterms:modified>
</cp:coreProperties>
</file>